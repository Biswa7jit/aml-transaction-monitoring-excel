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ustomers" sheetId="2" state="visible" r:id="rId4"/>
    <sheet name="Transactions" sheetId="3" state="visible" r:id="rId5"/>
    <sheet name="Alert 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<sst xmlns="http://schemas.openxmlformats.org/spreadsheetml/2006/main" count="1225" uniqueCount="114">
  <si>
    <t xml:space="preserve">AML Transaction Monitoring — No-Code (Excel) Version</t>
  </si>
  <si>
    <t xml:space="preserve">This workbook implements the same AML detection logic as the SQL version of this project, using only spreadsheet formulas — no code, no query language. It mirrors the same scenario design (same 12 customers, same four planted suspicious patterns) so the two projects are directly comparable, even though the exact row counts differ slightly since the underlying random data generation isn't shared between the two.</t>
  </si>
  <si>
    <t xml:space="preserve">Purpose: many compliance teams still do first-pass transaction review in Excel, especially smaller institutions or ad hoc investigations. This demonstrates the same analytical thinking (typology logic, thresholds, false-positive tuning) expressed through the tool most AML analyst job postings actually list day-to-day.</t>
  </si>
  <si>
    <t xml:space="preserve">How to use this workbook:</t>
  </si>
  <si>
    <t xml:space="preserve">  1. Open 'Transactions' — the raw data plus helper flag columns (K onward).</t>
  </si>
  <si>
    <t xml:space="preserve">  2. Open 'Alert Summary' — per-account risk scoring, built entirely from formulas referencing the Transactions sheet.</t>
  </si>
  <si>
    <t xml:space="preserve">  3. Click any cell in either sheet to see the live formula in the formula bar.</t>
  </si>
  <si>
    <t xml:space="preserve">Typologies detected (same four as the SQL version):</t>
  </si>
  <si>
    <t xml:space="preserve">  - Structuring: deposits just under the $10,000 CTR threshold, repeated.</t>
  </si>
  <si>
    <t xml:space="preserve">  - Rapid in-out / pass-through: a large inbound wire followed quickly by an outbound wire of nearly the same amount.</t>
  </si>
  <si>
    <t xml:space="preserve">  - High velocity: an unusual number of transactions for one account in a single day.</t>
  </si>
  <si>
    <t xml:space="preserve">  - Round-dollar wires to higher-risk jurisdictions: repeated, suspiciously round wire amounts sent to a country on a higher-risk list.</t>
  </si>
  <si>
    <t xml:space="preserve">Key formulas used (all standard Excel, no add-ins):</t>
  </si>
  <si>
    <t xml:space="preserve">  - COUNTIFS / SUMIFS — counting and summing transactions that match multiple conditions (e.g. deposits between $8,000-$9,999 for one account).</t>
  </si>
  <si>
    <t xml:space="preserve">  - SUMPRODUCT — matching an inbound wire to a corresponding outbound wire on the same account within a date window and amount tolerance (a cross-row comparison COUNTIFS alone can't express).</t>
  </si>
  <si>
    <t xml:space="preserve">  - MAXIFS — finding an account's single busiest day.</t>
  </si>
  <si>
    <t xml:space="preserve">  - INDEX/MATCH — pulling each customer's PEP status across sheets.</t>
  </si>
  <si>
    <t xml:space="preserve">  - Nested IF — combining typology hits into a risk score and a plain-English disposition (HIGH / MEDIUM / LOW).</t>
  </si>
  <si>
    <t xml:space="preserve">One documented simplification vs. the SQL version: the SQL project's structuring query uses a true rolling 7-day window (any 3 deposits within any 7 days). Pure Excel formulas can't easily express a rolling window without array formulas or a helper table, so this version flags 3+ qualifying deposits across the account's full history instead. It's a deliberate, disclosed trade-off — the kind of judgment call an analyst documents rather than hides.</t>
  </si>
  <si>
    <t xml:space="preserve">Suspicious rows are highlighted in red directly on the Transactions sheet via conditional formatting, so you can see exactly which rows drove each account's score.</t>
  </si>
  <si>
    <t xml:space="preserve">customer_id</t>
  </si>
  <si>
    <t xml:space="preserve">account_id</t>
  </si>
  <si>
    <t xml:space="preserve">customer_name</t>
  </si>
  <si>
    <t xml:space="preserve">country</t>
  </si>
  <si>
    <t xml:space="preserve">is_pep</t>
  </si>
  <si>
    <t xml:space="preserve">onboarding_date</t>
  </si>
  <si>
    <t xml:space="preserve">Alex Rowe</t>
  </si>
  <si>
    <t xml:space="preserve">US</t>
  </si>
  <si>
    <t xml:space="preserve">2023-01-15</t>
  </si>
  <si>
    <t xml:space="preserve">Priya Nair</t>
  </si>
  <si>
    <t xml:space="preserve">2022-11-02</t>
  </si>
  <si>
    <t xml:space="preserve">Daniel Kim</t>
  </si>
  <si>
    <t xml:space="preserve">2024-03-10</t>
  </si>
  <si>
    <t xml:space="preserve">Omar Haddad</t>
  </si>
  <si>
    <t xml:space="preserve">2021-07-22</t>
  </si>
  <si>
    <t xml:space="preserve">Maria Gomez</t>
  </si>
  <si>
    <t xml:space="preserve">2020-05-01</t>
  </si>
  <si>
    <t xml:space="preserve">John Becker</t>
  </si>
  <si>
    <t xml:space="preserve">2019-09-14</t>
  </si>
  <si>
    <t xml:space="preserve">Wei Zhang</t>
  </si>
  <si>
    <t xml:space="preserve">2023-02-18</t>
  </si>
  <si>
    <t xml:space="preserve">Sara Ali</t>
  </si>
  <si>
    <t xml:space="preserve">2022-06-30</t>
  </si>
  <si>
    <t xml:space="preserve">Tom Wallace</t>
  </si>
  <si>
    <t xml:space="preserve">2021-01-11</t>
  </si>
  <si>
    <t xml:space="preserve">Fatima Noor</t>
  </si>
  <si>
    <t xml:space="preserve">2020-12-05</t>
  </si>
  <si>
    <t xml:space="preserve">Liam O'Connor</t>
  </si>
  <si>
    <t xml:space="preserve">2023-08-09</t>
  </si>
  <si>
    <t xml:space="preserve">Grace Ito</t>
  </si>
  <si>
    <t xml:space="preserve">2018-04-20</t>
  </si>
  <si>
    <t xml:space="preserve">transaction_id</t>
  </si>
  <si>
    <t xml:space="preserve">txn_date</t>
  </si>
  <si>
    <t xml:space="preserve">txn_time</t>
  </si>
  <si>
    <t xml:space="preserve">amount</t>
  </si>
  <si>
    <t xml:space="preserve">txn_type</t>
  </si>
  <si>
    <t xml:space="preserve">counterparty</t>
  </si>
  <si>
    <t xml:space="preserve">counterparty_country</t>
  </si>
  <si>
    <t xml:space="preserve">channel</t>
  </si>
  <si>
    <t xml:space="preserve">Is_Structuring_Candidate</t>
  </si>
  <si>
    <t xml:space="preserve">Is_Round_Dollar_Risk_Wire</t>
  </si>
  <si>
    <t xml:space="preserve">Has_Matching_Rapid_Outflow</t>
  </si>
  <si>
    <t xml:space="preserve">Daily_Txn_Count_This_Account</t>
  </si>
  <si>
    <t xml:space="preserve">10:10:00</t>
  </si>
  <si>
    <t xml:space="preserve">deposit</t>
  </si>
  <si>
    <t xml:space="preserve">Cash</t>
  </si>
  <si>
    <t xml:space="preserve">branch</t>
  </si>
  <si>
    <t xml:space="preserve">10:11:00</t>
  </si>
  <si>
    <t xml:space="preserve">10:12:00</t>
  </si>
  <si>
    <t xml:space="preserve">10:13:00</t>
  </si>
  <si>
    <t xml:space="preserve">14:00:00</t>
  </si>
  <si>
    <t xml:space="preserve">withdrawal</t>
  </si>
  <si>
    <t xml:space="preserve">ATM</t>
  </si>
  <si>
    <t xml:space="preserve">atm</t>
  </si>
  <si>
    <t xml:space="preserve">09:00:00</t>
  </si>
  <si>
    <t xml:space="preserve">wire_in</t>
  </si>
  <si>
    <t xml:space="preserve">Offshore Holdings LLC</t>
  </si>
  <si>
    <t xml:space="preserve">AE</t>
  </si>
  <si>
    <t xml:space="preserve">wire</t>
  </si>
  <si>
    <t xml:space="preserve">13:45:00</t>
  </si>
  <si>
    <t xml:space="preserve">wire_out</t>
  </si>
  <si>
    <t xml:space="preserve">Global Trading Co</t>
  </si>
  <si>
    <t xml:space="preserve">HK</t>
  </si>
  <si>
    <t xml:space="preserve">11:00:00</t>
  </si>
  <si>
    <t xml:space="preserve">Payroll</t>
  </si>
  <si>
    <t xml:space="preserve">online</t>
  </si>
  <si>
    <t xml:space="preserve">POS</t>
  </si>
  <si>
    <t xml:space="preserve">09:17:00</t>
  </si>
  <si>
    <t xml:space="preserve">09:34:00</t>
  </si>
  <si>
    <t xml:space="preserve">09:51:00</t>
  </si>
  <si>
    <t xml:space="preserve">10:08:00</t>
  </si>
  <si>
    <t xml:space="preserve">10:25:00</t>
  </si>
  <si>
    <t xml:space="preserve">10:42:00</t>
  </si>
  <si>
    <t xml:space="preserve">10:59:00</t>
  </si>
  <si>
    <t xml:space="preserve">11:16:00</t>
  </si>
  <si>
    <t xml:space="preserve">11:33:00</t>
  </si>
  <si>
    <t xml:space="preserve">11:50:00</t>
  </si>
  <si>
    <t xml:space="preserve">12:07:00</t>
  </si>
  <si>
    <t xml:space="preserve">12:24:00</t>
  </si>
  <si>
    <t xml:space="preserve">12:41:00</t>
  </si>
  <si>
    <t xml:space="preserve">16:00:00</t>
  </si>
  <si>
    <t xml:space="preserve">Silverline Trading FZE</t>
  </si>
  <si>
    <t xml:space="preserve">00:00:00</t>
  </si>
  <si>
    <t xml:space="preserve">Grocery Store</t>
  </si>
  <si>
    <t xml:space="preserve">Landlord</t>
  </si>
  <si>
    <t xml:space="preserve">Utility Co</t>
  </si>
  <si>
    <t xml:space="preserve">12:00:00</t>
  </si>
  <si>
    <t xml:space="preserve">Consulting Fees</t>
  </si>
  <si>
    <t xml:space="preserve">structuring_deposit_count</t>
  </si>
  <si>
    <t xml:space="preserve">round_dollar_wire_count</t>
  </si>
  <si>
    <t xml:space="preserve">has_rapid_outflow_match</t>
  </si>
  <si>
    <t xml:space="preserve">max_daily_txn_count</t>
  </si>
  <si>
    <t xml:space="preserve">risk_score</t>
  </si>
  <si>
    <t xml:space="preserve">disposition</t>
  </si>
</sst>
</file>

<file path=xl/styles.xml><?xml version="1.0" encoding="utf-8"?>
<styleSheet xmlns="http://schemas.openxmlformats.org/spreadsheetml/2006/main">
  <numFmts count="3">
    <numFmt numFmtId="164" formatCode="General"/>
    <numFmt numFmtId="165" formatCode="yyyy\-mm\-dd"/>
    <numFmt numFmtId="166" formatCode="\$#,##0.00"/>
  </numFmts>
  <fonts count="7">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center" vertical="bottom" textRotation="0" wrapText="tru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7.35" hidden="false" customHeight="false" outlineLevel="0" collapsed="false">
      <c r="A1" s="2" t="s">
        <v>0</v>
      </c>
    </row>
    <row r="3" customFormat="false" ht="46.25" hidden="false" customHeight="false" outlineLevel="0" collapsed="false">
      <c r="A3" s="3" t="s">
        <v>1</v>
      </c>
    </row>
    <row r="4" customFormat="false" ht="15" hidden="false" customHeight="false" outlineLevel="0" collapsed="false">
      <c r="A4" s="3"/>
    </row>
    <row r="5" customFormat="false" ht="35.05" hidden="false" customHeight="false" outlineLevel="0" collapsed="false">
      <c r="A5" s="3" t="s">
        <v>2</v>
      </c>
    </row>
    <row r="6" customFormat="false" ht="15" hidden="false" customHeight="false" outlineLevel="0" collapsed="false">
      <c r="A6" s="3"/>
    </row>
    <row r="7" customFormat="false" ht="15" hidden="false" customHeight="false" outlineLevel="0" collapsed="false">
      <c r="A7" s="3" t="s">
        <v>3</v>
      </c>
    </row>
    <row r="8" customFormat="false" ht="15" hidden="false" customHeight="false" outlineLevel="0" collapsed="false">
      <c r="A8" s="3" t="s">
        <v>4</v>
      </c>
    </row>
    <row r="9" customFormat="false" ht="15" hidden="false" customHeight="false" outlineLevel="0" collapsed="false">
      <c r="A9" s="3" t="s">
        <v>5</v>
      </c>
    </row>
    <row r="10" customFormat="false" ht="15" hidden="false" customHeight="false" outlineLevel="0" collapsed="false">
      <c r="A10" s="3" t="s">
        <v>6</v>
      </c>
    </row>
    <row r="11" customFormat="false" ht="15" hidden="false" customHeight="false" outlineLevel="0" collapsed="false">
      <c r="A11" s="3"/>
    </row>
    <row r="12" customFormat="false" ht="15" hidden="false" customHeight="false" outlineLevel="0" collapsed="false">
      <c r="A12" s="3" t="s">
        <v>7</v>
      </c>
    </row>
    <row r="13" customFormat="false" ht="15" hidden="false" customHeight="false" outlineLevel="0" collapsed="false">
      <c r="A13" s="3" t="s">
        <v>8</v>
      </c>
    </row>
    <row r="14" customFormat="false" ht="15" hidden="false" customHeight="false" outlineLevel="0" collapsed="false">
      <c r="A14" s="3" t="s">
        <v>9</v>
      </c>
    </row>
    <row r="15" customFormat="false" ht="15" hidden="false" customHeight="false" outlineLevel="0" collapsed="false">
      <c r="A15" s="3" t="s">
        <v>10</v>
      </c>
    </row>
    <row r="16" customFormat="false" ht="23.85" hidden="false" customHeight="false" outlineLevel="0" collapsed="false">
      <c r="A16" s="3" t="s">
        <v>11</v>
      </c>
    </row>
    <row r="17" customFormat="false" ht="15" hidden="false" customHeight="false" outlineLevel="0" collapsed="false">
      <c r="A17" s="3"/>
    </row>
    <row r="18" customFormat="false" ht="15" hidden="false" customHeight="false" outlineLevel="0" collapsed="false">
      <c r="A18" s="3" t="s">
        <v>12</v>
      </c>
    </row>
    <row r="19" customFormat="false" ht="23.85" hidden="false" customHeight="false" outlineLevel="0" collapsed="false">
      <c r="A19" s="3" t="s">
        <v>13</v>
      </c>
    </row>
    <row r="20" customFormat="false" ht="23.85" hidden="false" customHeight="false" outlineLevel="0" collapsed="false">
      <c r="A20" s="3" t="s">
        <v>14</v>
      </c>
    </row>
    <row r="21" customFormat="false" ht="15" hidden="false" customHeight="false" outlineLevel="0" collapsed="false">
      <c r="A21" s="3" t="s">
        <v>15</v>
      </c>
    </row>
    <row r="22" customFormat="false" ht="15" hidden="false" customHeight="false" outlineLevel="0" collapsed="false">
      <c r="A22" s="3" t="s">
        <v>16</v>
      </c>
    </row>
    <row r="23" customFormat="false" ht="15" hidden="false" customHeight="false" outlineLevel="0" collapsed="false">
      <c r="A23" s="3" t="s">
        <v>17</v>
      </c>
    </row>
    <row r="24" customFormat="false" ht="15" hidden="false" customHeight="false" outlineLevel="0" collapsed="false">
      <c r="A24" s="3"/>
    </row>
    <row r="25" customFormat="false" ht="46.25" hidden="false" customHeight="false" outlineLevel="0" collapsed="false">
      <c r="A25" s="3" t="s">
        <v>18</v>
      </c>
    </row>
    <row r="26" customFormat="false" ht="15" hidden="false" customHeight="false" outlineLevel="0" collapsed="false">
      <c r="A26" s="3"/>
    </row>
    <row r="27" customFormat="false" ht="23.85" hidden="false" customHeight="false" outlineLevel="0" collapsed="false">
      <c r="A27"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8"/>
    <col collapsed="false" customWidth="true" hidden="false" outlineLevel="0" max="4" min="4" style="1" width="10"/>
    <col collapsed="false" customWidth="true" hidden="false" outlineLevel="0" max="5" min="5" style="1" width="8"/>
    <col collapsed="false" customWidth="true" hidden="false" outlineLevel="0" max="6" min="6" style="1" width="15"/>
  </cols>
  <sheetData>
    <row r="1" customFormat="false" ht="15" hidden="false" customHeight="false" outlineLevel="0" collapsed="false">
      <c r="A1" s="4" t="s">
        <v>20</v>
      </c>
      <c r="B1" s="4" t="s">
        <v>21</v>
      </c>
      <c r="C1" s="4" t="s">
        <v>22</v>
      </c>
      <c r="D1" s="4" t="s">
        <v>23</v>
      </c>
      <c r="E1" s="4" t="s">
        <v>24</v>
      </c>
      <c r="F1" s="4" t="s">
        <v>25</v>
      </c>
    </row>
    <row r="2" customFormat="false" ht="15" hidden="false" customHeight="false" outlineLevel="0" collapsed="false">
      <c r="A2" s="5" t="n">
        <v>101</v>
      </c>
      <c r="B2" s="5" t="n">
        <v>1010</v>
      </c>
      <c r="C2" s="5" t="s">
        <v>26</v>
      </c>
      <c r="D2" s="5" t="s">
        <v>27</v>
      </c>
      <c r="E2" s="5" t="n">
        <v>0</v>
      </c>
      <c r="F2" s="5" t="s">
        <v>28</v>
      </c>
    </row>
    <row r="3" customFormat="false" ht="15" hidden="false" customHeight="false" outlineLevel="0" collapsed="false">
      <c r="A3" s="5" t="n">
        <v>102</v>
      </c>
      <c r="B3" s="5" t="n">
        <v>1020</v>
      </c>
      <c r="C3" s="5" t="s">
        <v>29</v>
      </c>
      <c r="D3" s="5" t="s">
        <v>27</v>
      </c>
      <c r="E3" s="5" t="n">
        <v>0</v>
      </c>
      <c r="F3" s="5" t="s">
        <v>30</v>
      </c>
    </row>
    <row r="4" customFormat="false" ht="15" hidden="false" customHeight="false" outlineLevel="0" collapsed="false">
      <c r="A4" s="5" t="n">
        <v>103</v>
      </c>
      <c r="B4" s="5" t="n">
        <v>1030</v>
      </c>
      <c r="C4" s="5" t="s">
        <v>31</v>
      </c>
      <c r="D4" s="5" t="s">
        <v>27</v>
      </c>
      <c r="E4" s="5" t="n">
        <v>0</v>
      </c>
      <c r="F4" s="5" t="s">
        <v>32</v>
      </c>
    </row>
    <row r="5" customFormat="false" ht="15" hidden="false" customHeight="false" outlineLevel="0" collapsed="false">
      <c r="A5" s="5" t="n">
        <v>104</v>
      </c>
      <c r="B5" s="5" t="n">
        <v>1040</v>
      </c>
      <c r="C5" s="5" t="s">
        <v>33</v>
      </c>
      <c r="D5" s="5" t="s">
        <v>27</v>
      </c>
      <c r="E5" s="5" t="n">
        <v>0</v>
      </c>
      <c r="F5" s="5" t="s">
        <v>34</v>
      </c>
    </row>
    <row r="6" customFormat="false" ht="15" hidden="false" customHeight="false" outlineLevel="0" collapsed="false">
      <c r="A6" s="5" t="n">
        <v>105</v>
      </c>
      <c r="B6" s="5" t="n">
        <v>1050</v>
      </c>
      <c r="C6" s="5" t="s">
        <v>35</v>
      </c>
      <c r="D6" s="5" t="s">
        <v>27</v>
      </c>
      <c r="E6" s="5" t="n">
        <v>0</v>
      </c>
      <c r="F6" s="5" t="s">
        <v>36</v>
      </c>
    </row>
    <row r="7" customFormat="false" ht="15" hidden="false" customHeight="false" outlineLevel="0" collapsed="false">
      <c r="A7" s="5" t="n">
        <v>106</v>
      </c>
      <c r="B7" s="5" t="n">
        <v>1060</v>
      </c>
      <c r="C7" s="5" t="s">
        <v>37</v>
      </c>
      <c r="D7" s="5" t="s">
        <v>27</v>
      </c>
      <c r="E7" s="5" t="n">
        <v>0</v>
      </c>
      <c r="F7" s="5" t="s">
        <v>38</v>
      </c>
    </row>
    <row r="8" customFormat="false" ht="15" hidden="false" customHeight="false" outlineLevel="0" collapsed="false">
      <c r="A8" s="5" t="n">
        <v>107</v>
      </c>
      <c r="B8" s="5" t="n">
        <v>1070</v>
      </c>
      <c r="C8" s="5" t="s">
        <v>39</v>
      </c>
      <c r="D8" s="5" t="s">
        <v>27</v>
      </c>
      <c r="E8" s="5" t="n">
        <v>0</v>
      </c>
      <c r="F8" s="5" t="s">
        <v>40</v>
      </c>
    </row>
    <row r="9" customFormat="false" ht="15" hidden="false" customHeight="false" outlineLevel="0" collapsed="false">
      <c r="A9" s="5" t="n">
        <v>108</v>
      </c>
      <c r="B9" s="5" t="n">
        <v>1080</v>
      </c>
      <c r="C9" s="5" t="s">
        <v>41</v>
      </c>
      <c r="D9" s="5" t="s">
        <v>27</v>
      </c>
      <c r="E9" s="5" t="n">
        <v>0</v>
      </c>
      <c r="F9" s="5" t="s">
        <v>42</v>
      </c>
    </row>
    <row r="10" customFormat="false" ht="15" hidden="false" customHeight="false" outlineLevel="0" collapsed="false">
      <c r="A10" s="5" t="n">
        <v>109</v>
      </c>
      <c r="B10" s="5" t="n">
        <v>1090</v>
      </c>
      <c r="C10" s="5" t="s">
        <v>43</v>
      </c>
      <c r="D10" s="5" t="s">
        <v>27</v>
      </c>
      <c r="E10" s="5" t="n">
        <v>0</v>
      </c>
      <c r="F10" s="5" t="s">
        <v>44</v>
      </c>
    </row>
    <row r="11" customFormat="false" ht="15" hidden="false" customHeight="false" outlineLevel="0" collapsed="false">
      <c r="A11" s="5" t="n">
        <v>110</v>
      </c>
      <c r="B11" s="5" t="n">
        <v>1100</v>
      </c>
      <c r="C11" s="5" t="s">
        <v>45</v>
      </c>
      <c r="D11" s="5" t="s">
        <v>27</v>
      </c>
      <c r="E11" s="5" t="n">
        <v>0</v>
      </c>
      <c r="F11" s="5" t="s">
        <v>46</v>
      </c>
    </row>
    <row r="12" customFormat="false" ht="15" hidden="false" customHeight="false" outlineLevel="0" collapsed="false">
      <c r="A12" s="5" t="n">
        <v>111</v>
      </c>
      <c r="B12" s="5" t="n">
        <v>1110</v>
      </c>
      <c r="C12" s="5" t="s">
        <v>47</v>
      </c>
      <c r="D12" s="5" t="s">
        <v>27</v>
      </c>
      <c r="E12" s="5" t="n">
        <v>0</v>
      </c>
      <c r="F12" s="5" t="s">
        <v>48</v>
      </c>
    </row>
    <row r="13" customFormat="false" ht="15" hidden="false" customHeight="false" outlineLevel="0" collapsed="false">
      <c r="A13" s="5" t="n">
        <v>112</v>
      </c>
      <c r="B13" s="5" t="n">
        <v>1120</v>
      </c>
      <c r="C13" s="5" t="s">
        <v>49</v>
      </c>
      <c r="D13" s="5" t="s">
        <v>27</v>
      </c>
      <c r="E13" s="5" t="n">
        <v>1</v>
      </c>
      <c r="F13" s="5"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16"/>
    <col collapsed="false" customWidth="true" hidden="false" outlineLevel="0" max="4" min="4" style="1" width="12"/>
    <col collapsed="false" customWidth="true" hidden="false" outlineLevel="0" max="5" min="5" style="1" width="10"/>
    <col collapsed="false" customWidth="true" hidden="false" outlineLevel="0" max="6" min="6" style="1" width="12"/>
    <col collapsed="false" customWidth="true" hidden="false" outlineLevel="0" max="7" min="7" style="1" width="11"/>
    <col collapsed="false" customWidth="true" hidden="false" outlineLevel="0" max="8" min="8" style="1" width="20"/>
    <col collapsed="false" customWidth="true" hidden="false" outlineLevel="0" max="9" min="9" style="1" width="12"/>
    <col collapsed="false" customWidth="true" hidden="false" outlineLevel="0" max="10" min="10" style="1" width="10"/>
    <col collapsed="false" customWidth="true" hidden="false" outlineLevel="0" max="14" min="11" style="1" width="11"/>
  </cols>
  <sheetData>
    <row r="1" customFormat="false" ht="35.05" hidden="false" customHeight="false" outlineLevel="0" collapsed="false">
      <c r="A1" s="6" t="s">
        <v>51</v>
      </c>
      <c r="B1" s="6" t="s">
        <v>21</v>
      </c>
      <c r="C1" s="6" t="s">
        <v>22</v>
      </c>
      <c r="D1" s="6" t="s">
        <v>52</v>
      </c>
      <c r="E1" s="6" t="s">
        <v>53</v>
      </c>
      <c r="F1" s="6" t="s">
        <v>54</v>
      </c>
      <c r="G1" s="6" t="s">
        <v>55</v>
      </c>
      <c r="H1" s="6" t="s">
        <v>56</v>
      </c>
      <c r="I1" s="6" t="s">
        <v>57</v>
      </c>
      <c r="J1" s="6" t="s">
        <v>58</v>
      </c>
      <c r="K1" s="6" t="s">
        <v>59</v>
      </c>
      <c r="L1" s="6" t="s">
        <v>60</v>
      </c>
      <c r="M1" s="6" t="s">
        <v>61</v>
      </c>
      <c r="N1" s="6" t="s">
        <v>62</v>
      </c>
    </row>
    <row r="2" customFormat="false" ht="15" hidden="false" customHeight="false" outlineLevel="0" collapsed="false">
      <c r="A2" s="5" t="n">
        <v>1</v>
      </c>
      <c r="B2" s="5" t="n">
        <v>1010</v>
      </c>
      <c r="C2" s="5" t="s">
        <v>26</v>
      </c>
      <c r="D2" s="7" t="n">
        <v>46084</v>
      </c>
      <c r="E2" s="5" t="s">
        <v>63</v>
      </c>
      <c r="F2" s="8" t="n">
        <v>9800</v>
      </c>
      <c r="G2" s="5" t="s">
        <v>64</v>
      </c>
      <c r="H2" s="5" t="s">
        <v>65</v>
      </c>
      <c r="I2" s="5" t="s">
        <v>27</v>
      </c>
      <c r="J2" s="5" t="s">
        <v>66</v>
      </c>
      <c r="K2" s="5" t="n">
        <f aca="false">IF(AND(G2="deposit",J2="branch",F2&gt;=8000,F2&lt;10000),1,0)</f>
        <v>1</v>
      </c>
      <c r="L2" s="5" t="n">
        <f aca="false">IF(AND(G2="wire_out",MOD(F2,1000)=0,OR(I2="AE",I2="HK",I2="CY",I2="PA")),1,0)</f>
        <v>0</v>
      </c>
      <c r="M2" s="5" t="n">
        <f aca="false">IF(G2="wire_in",IF(SUMPRODUCT(($B$2:$B$191=B2)*($G$2:$G$191="wire_out")*($D$2:$D$191&gt;=D2)*($D$2:$D$191&lt;=D2+1)*($F$2:$F$191&gt;=F2*0.9)*($F$2:$F$191&lt;=F2))&gt;0,1,0),0)</f>
        <v>0</v>
      </c>
      <c r="N2" s="5" t="n">
        <f aca="false">COUNTIFS($B$2:$B$191,B2,$D$2:$D$191,D2)</f>
        <v>1</v>
      </c>
    </row>
    <row r="3" customFormat="false" ht="15" hidden="false" customHeight="false" outlineLevel="0" collapsed="false">
      <c r="A3" s="5" t="n">
        <v>2</v>
      </c>
      <c r="B3" s="5" t="n">
        <v>1010</v>
      </c>
      <c r="C3" s="5" t="s">
        <v>26</v>
      </c>
      <c r="D3" s="7" t="n">
        <v>46085</v>
      </c>
      <c r="E3" s="5" t="s">
        <v>67</v>
      </c>
      <c r="F3" s="8" t="n">
        <v>9450</v>
      </c>
      <c r="G3" s="5" t="s">
        <v>64</v>
      </c>
      <c r="H3" s="5" t="s">
        <v>65</v>
      </c>
      <c r="I3" s="5" t="s">
        <v>27</v>
      </c>
      <c r="J3" s="5" t="s">
        <v>66</v>
      </c>
      <c r="K3" s="5" t="n">
        <f aca="false">IF(AND(G3="deposit",J3="branch",F3&gt;=8000,F3&lt;10000),1,0)</f>
        <v>1</v>
      </c>
      <c r="L3" s="5" t="n">
        <f aca="false">IF(AND(G3="wire_out",MOD(F3,1000)=0,OR(I3="AE",I3="HK",I3="CY",I3="PA")),1,0)</f>
        <v>0</v>
      </c>
      <c r="M3" s="5" t="n">
        <f aca="false">IF(G3="wire_in",IF(SUMPRODUCT(($B$2:$B$191=B3)*($G$2:$G$191="wire_out")*($D$2:$D$191&gt;=D3)*($D$2:$D$191&lt;=D3+1)*($F$2:$F$191&gt;=F3*0.9)*($F$2:$F$191&lt;=F3))&gt;0,1,0),0)</f>
        <v>0</v>
      </c>
      <c r="N3" s="5" t="n">
        <f aca="false">COUNTIFS($B$2:$B$191,B3,$D$2:$D$191,D3)</f>
        <v>1</v>
      </c>
    </row>
    <row r="4" customFormat="false" ht="15" hidden="false" customHeight="false" outlineLevel="0" collapsed="false">
      <c r="A4" s="5" t="n">
        <v>3</v>
      </c>
      <c r="B4" s="5" t="n">
        <v>1010</v>
      </c>
      <c r="C4" s="5" t="s">
        <v>26</v>
      </c>
      <c r="D4" s="7" t="n">
        <v>46086</v>
      </c>
      <c r="E4" s="5" t="s">
        <v>68</v>
      </c>
      <c r="F4" s="8" t="n">
        <v>9700</v>
      </c>
      <c r="G4" s="5" t="s">
        <v>64</v>
      </c>
      <c r="H4" s="5" t="s">
        <v>65</v>
      </c>
      <c r="I4" s="5" t="s">
        <v>27</v>
      </c>
      <c r="J4" s="5" t="s">
        <v>66</v>
      </c>
      <c r="K4" s="5" t="n">
        <f aca="false">IF(AND(G4="deposit",J4="branch",F4&gt;=8000,F4&lt;10000),1,0)</f>
        <v>1</v>
      </c>
      <c r="L4" s="5" t="n">
        <f aca="false">IF(AND(G4="wire_out",MOD(F4,1000)=0,OR(I4="AE",I4="HK",I4="CY",I4="PA")),1,0)</f>
        <v>0</v>
      </c>
      <c r="M4" s="5" t="n">
        <f aca="false">IF(G4="wire_in",IF(SUMPRODUCT(($B$2:$B$191=B4)*($G$2:$G$191="wire_out")*($D$2:$D$191&gt;=D4)*($D$2:$D$191&lt;=D4+1)*($F$2:$F$191&gt;=F4*0.9)*($F$2:$F$191&lt;=F4))&gt;0,1,0),0)</f>
        <v>0</v>
      </c>
      <c r="N4" s="5" t="n">
        <f aca="false">COUNTIFS($B$2:$B$191,B4,$D$2:$D$191,D4)</f>
        <v>1</v>
      </c>
    </row>
    <row r="5" customFormat="false" ht="15" hidden="false" customHeight="false" outlineLevel="0" collapsed="false">
      <c r="A5" s="5" t="n">
        <v>4</v>
      </c>
      <c r="B5" s="5" t="n">
        <v>1010</v>
      </c>
      <c r="C5" s="5" t="s">
        <v>26</v>
      </c>
      <c r="D5" s="7" t="n">
        <v>46087</v>
      </c>
      <c r="E5" s="5" t="s">
        <v>69</v>
      </c>
      <c r="F5" s="8" t="n">
        <v>9600</v>
      </c>
      <c r="G5" s="5" t="s">
        <v>64</v>
      </c>
      <c r="H5" s="5" t="s">
        <v>65</v>
      </c>
      <c r="I5" s="5" t="s">
        <v>27</v>
      </c>
      <c r="J5" s="5" t="s">
        <v>66</v>
      </c>
      <c r="K5" s="5" t="n">
        <f aca="false">IF(AND(G5="deposit",J5="branch",F5&gt;=8000,F5&lt;10000),1,0)</f>
        <v>1</v>
      </c>
      <c r="L5" s="5" t="n">
        <f aca="false">IF(AND(G5="wire_out",MOD(F5,1000)=0,OR(I5="AE",I5="HK",I5="CY",I5="PA")),1,0)</f>
        <v>0</v>
      </c>
      <c r="M5" s="5" t="n">
        <f aca="false">IF(G5="wire_in",IF(SUMPRODUCT(($B$2:$B$191=B5)*($G$2:$G$191="wire_out")*($D$2:$D$191&gt;=D5)*($D$2:$D$191&lt;=D5+1)*($F$2:$F$191&gt;=F5*0.9)*($F$2:$F$191&lt;=F5))&gt;0,1,0),0)</f>
        <v>0</v>
      </c>
      <c r="N5" s="5" t="n">
        <f aca="false">COUNTIFS($B$2:$B$191,B5,$D$2:$D$191,D5)</f>
        <v>1</v>
      </c>
    </row>
    <row r="6" customFormat="false" ht="15" hidden="false" customHeight="false" outlineLevel="0" collapsed="false">
      <c r="A6" s="5" t="n">
        <v>5</v>
      </c>
      <c r="B6" s="5" t="n">
        <v>1010</v>
      </c>
      <c r="C6" s="5" t="s">
        <v>26</v>
      </c>
      <c r="D6" s="7" t="n">
        <v>46091</v>
      </c>
      <c r="E6" s="5" t="s">
        <v>70</v>
      </c>
      <c r="F6" s="8" t="n">
        <v>120.5</v>
      </c>
      <c r="G6" s="5" t="s">
        <v>71</v>
      </c>
      <c r="H6" s="5" t="s">
        <v>72</v>
      </c>
      <c r="I6" s="5" t="s">
        <v>27</v>
      </c>
      <c r="J6" s="5" t="s">
        <v>73</v>
      </c>
      <c r="K6" s="5" t="n">
        <f aca="false">IF(AND(G6="deposit",J6="branch",F6&gt;=8000,F6&lt;10000),1,0)</f>
        <v>0</v>
      </c>
      <c r="L6" s="5" t="n">
        <f aca="false">IF(AND(G6="wire_out",MOD(F6,1000)=0,OR(I6="AE",I6="HK",I6="CY",I6="PA")),1,0)</f>
        <v>0</v>
      </c>
      <c r="M6" s="5" t="n">
        <f aca="false">IF(G6="wire_in",IF(SUMPRODUCT(($B$2:$B$191=B6)*($G$2:$G$191="wire_out")*($D$2:$D$191&gt;=D6)*($D$2:$D$191&lt;=D6+1)*($F$2:$F$191&gt;=F6*0.9)*($F$2:$F$191&lt;=F6))&gt;0,1,0),0)</f>
        <v>0</v>
      </c>
      <c r="N6" s="5" t="n">
        <f aca="false">COUNTIFS($B$2:$B$191,B6,$D$2:$D$191,D6)</f>
        <v>1</v>
      </c>
    </row>
    <row r="7" customFormat="false" ht="15" hidden="false" customHeight="false" outlineLevel="0" collapsed="false">
      <c r="A7" s="5" t="n">
        <v>6</v>
      </c>
      <c r="B7" s="5" t="n">
        <v>1020</v>
      </c>
      <c r="C7" s="5" t="s">
        <v>29</v>
      </c>
      <c r="D7" s="7" t="n">
        <v>46117</v>
      </c>
      <c r="E7" s="5" t="s">
        <v>74</v>
      </c>
      <c r="F7" s="8" t="n">
        <v>48000</v>
      </c>
      <c r="G7" s="5" t="s">
        <v>75</v>
      </c>
      <c r="H7" s="5" t="s">
        <v>76</v>
      </c>
      <c r="I7" s="5" t="s">
        <v>77</v>
      </c>
      <c r="J7" s="5" t="s">
        <v>78</v>
      </c>
      <c r="K7" s="5" t="n">
        <f aca="false">IF(AND(G7="deposit",J7="branch",F7&gt;=8000,F7&lt;10000),1,0)</f>
        <v>0</v>
      </c>
      <c r="L7" s="5" t="n">
        <f aca="false">IF(AND(G7="wire_out",MOD(F7,1000)=0,OR(I7="AE",I7="HK",I7="CY",I7="PA")),1,0)</f>
        <v>0</v>
      </c>
      <c r="M7" s="5" t="n">
        <f aca="false">IF(G7="wire_in",IF(SUMPRODUCT(($B$2:$B$191=B7)*($G$2:$G$191="wire_out")*($D$2:$D$191&gt;=D7)*($D$2:$D$191&lt;=D7+1)*($F$2:$F$191&gt;=F7*0.9)*($F$2:$F$191&lt;=F7))&gt;0,1,0),0)</f>
        <v>1</v>
      </c>
      <c r="N7" s="5" t="n">
        <f aca="false">COUNTIFS($B$2:$B$191,B7,$D$2:$D$191,D7)</f>
        <v>2</v>
      </c>
    </row>
    <row r="8" customFormat="false" ht="15" hidden="false" customHeight="false" outlineLevel="0" collapsed="false">
      <c r="A8" s="5" t="n">
        <v>7</v>
      </c>
      <c r="B8" s="5" t="n">
        <v>1020</v>
      </c>
      <c r="C8" s="5" t="s">
        <v>29</v>
      </c>
      <c r="D8" s="7" t="n">
        <v>46117</v>
      </c>
      <c r="E8" s="5" t="s">
        <v>79</v>
      </c>
      <c r="F8" s="8" t="n">
        <v>47500</v>
      </c>
      <c r="G8" s="5" t="s">
        <v>80</v>
      </c>
      <c r="H8" s="5" t="s">
        <v>81</v>
      </c>
      <c r="I8" s="5" t="s">
        <v>82</v>
      </c>
      <c r="J8" s="5" t="s">
        <v>78</v>
      </c>
      <c r="K8" s="5" t="n">
        <f aca="false">IF(AND(G8="deposit",J8="branch",F8&gt;=8000,F8&lt;10000),1,0)</f>
        <v>0</v>
      </c>
      <c r="L8" s="5" t="n">
        <f aca="false">IF(AND(G8="wire_out",MOD(F8,1000)=0,OR(I8="AE",I8="HK",I8="CY",I8="PA")),1,0)</f>
        <v>0</v>
      </c>
      <c r="M8" s="5" t="n">
        <f aca="false">IF(G8="wire_in",IF(SUMPRODUCT(($B$2:$B$191=B8)*($G$2:$G$191="wire_out")*($D$2:$D$191&gt;=D8)*($D$2:$D$191&lt;=D8+1)*($F$2:$F$191&gt;=F8*0.9)*($F$2:$F$191&lt;=F8))&gt;0,1,0),0)</f>
        <v>0</v>
      </c>
      <c r="N8" s="5" t="n">
        <f aca="false">COUNTIFS($B$2:$B$191,B8,$D$2:$D$191,D8)</f>
        <v>2</v>
      </c>
    </row>
    <row r="9" customFormat="false" ht="15" hidden="false" customHeight="false" outlineLevel="0" collapsed="false">
      <c r="A9" s="5" t="n">
        <v>8</v>
      </c>
      <c r="B9" s="5" t="n">
        <v>1020</v>
      </c>
      <c r="C9" s="5" t="s">
        <v>29</v>
      </c>
      <c r="D9" s="7" t="n">
        <v>46132</v>
      </c>
      <c r="E9" s="5" t="s">
        <v>83</v>
      </c>
      <c r="F9" s="8" t="n">
        <v>300</v>
      </c>
      <c r="G9" s="5" t="s">
        <v>64</v>
      </c>
      <c r="H9" s="5" t="s">
        <v>84</v>
      </c>
      <c r="I9" s="5" t="s">
        <v>27</v>
      </c>
      <c r="J9" s="5" t="s">
        <v>85</v>
      </c>
      <c r="K9" s="5" t="n">
        <f aca="false">IF(AND(G9="deposit",J9="branch",F9&gt;=8000,F9&lt;10000),1,0)</f>
        <v>0</v>
      </c>
      <c r="L9" s="5" t="n">
        <f aca="false">IF(AND(G9="wire_out",MOD(F9,1000)=0,OR(I9="AE",I9="HK",I9="CY",I9="PA")),1,0)</f>
        <v>0</v>
      </c>
      <c r="M9" s="5" t="n">
        <f aca="false">IF(G9="wire_in",IF(SUMPRODUCT(($B$2:$B$191=B9)*($G$2:$G$191="wire_out")*($D$2:$D$191&gt;=D9)*($D$2:$D$191&lt;=D9+1)*($F$2:$F$191&gt;=F9*0.9)*($F$2:$F$191&lt;=F9))&gt;0,1,0),0)</f>
        <v>0</v>
      </c>
      <c r="N9" s="5" t="n">
        <f aca="false">COUNTIFS($B$2:$B$191,B9,$D$2:$D$191,D9)</f>
        <v>1</v>
      </c>
    </row>
    <row r="10" customFormat="false" ht="15" hidden="false" customHeight="false" outlineLevel="0" collapsed="false">
      <c r="A10" s="5" t="n">
        <v>9</v>
      </c>
      <c r="B10" s="5" t="n">
        <v>1030</v>
      </c>
      <c r="C10" s="5" t="s">
        <v>31</v>
      </c>
      <c r="D10" s="7" t="n">
        <v>46153</v>
      </c>
      <c r="E10" s="5" t="s">
        <v>74</v>
      </c>
      <c r="F10" s="8" t="n">
        <v>150</v>
      </c>
      <c r="G10" s="5" t="s">
        <v>71</v>
      </c>
      <c r="H10" s="5" t="s">
        <v>86</v>
      </c>
      <c r="I10" s="5" t="s">
        <v>27</v>
      </c>
      <c r="J10" s="5" t="s">
        <v>85</v>
      </c>
      <c r="K10" s="5" t="n">
        <f aca="false">IF(AND(G10="deposit",J10="branch",F10&gt;=8000,F10&lt;10000),1,0)</f>
        <v>0</v>
      </c>
      <c r="L10" s="5" t="n">
        <f aca="false">IF(AND(G10="wire_out",MOD(F10,1000)=0,OR(I10="AE",I10="HK",I10="CY",I10="PA")),1,0)</f>
        <v>0</v>
      </c>
      <c r="M10" s="5" t="n">
        <f aca="false">IF(G10="wire_in",IF(SUMPRODUCT(($B$2:$B$191=B10)*($G$2:$G$191="wire_out")*($D$2:$D$191&gt;=D10)*($D$2:$D$191&lt;=D10+1)*($F$2:$F$191&gt;=F10*0.9)*($F$2:$F$191&lt;=F10))&gt;0,1,0),0)</f>
        <v>0</v>
      </c>
      <c r="N10" s="5" t="n">
        <f aca="false">COUNTIFS($B$2:$B$191,B10,$D$2:$D$191,D10)</f>
        <v>14</v>
      </c>
    </row>
    <row r="11" customFormat="false" ht="15" hidden="false" customHeight="false" outlineLevel="0" collapsed="false">
      <c r="A11" s="5" t="n">
        <v>10</v>
      </c>
      <c r="B11" s="5" t="n">
        <v>1030</v>
      </c>
      <c r="C11" s="5" t="s">
        <v>31</v>
      </c>
      <c r="D11" s="7" t="n">
        <v>46153</v>
      </c>
      <c r="E11" s="5" t="s">
        <v>87</v>
      </c>
      <c r="F11" s="8" t="n">
        <v>150</v>
      </c>
      <c r="G11" s="5" t="s">
        <v>71</v>
      </c>
      <c r="H11" s="5" t="s">
        <v>86</v>
      </c>
      <c r="I11" s="5" t="s">
        <v>27</v>
      </c>
      <c r="J11" s="5" t="s">
        <v>85</v>
      </c>
      <c r="K11" s="5" t="n">
        <f aca="false">IF(AND(G11="deposit",J11="branch",F11&gt;=8000,F11&lt;10000),1,0)</f>
        <v>0</v>
      </c>
      <c r="L11" s="5" t="n">
        <f aca="false">IF(AND(G11="wire_out",MOD(F11,1000)=0,OR(I11="AE",I11="HK",I11="CY",I11="PA")),1,0)</f>
        <v>0</v>
      </c>
      <c r="M11" s="5" t="n">
        <f aca="false">IF(G11="wire_in",IF(SUMPRODUCT(($B$2:$B$191=B11)*($G$2:$G$191="wire_out")*($D$2:$D$191&gt;=D11)*($D$2:$D$191&lt;=D11+1)*($F$2:$F$191&gt;=F11*0.9)*($F$2:$F$191&lt;=F11))&gt;0,1,0),0)</f>
        <v>0</v>
      </c>
      <c r="N11" s="5" t="n">
        <f aca="false">COUNTIFS($B$2:$B$191,B11,$D$2:$D$191,D11)</f>
        <v>14</v>
      </c>
    </row>
    <row r="12" customFormat="false" ht="15" hidden="false" customHeight="false" outlineLevel="0" collapsed="false">
      <c r="A12" s="5" t="n">
        <v>11</v>
      </c>
      <c r="B12" s="5" t="n">
        <v>1030</v>
      </c>
      <c r="C12" s="5" t="s">
        <v>31</v>
      </c>
      <c r="D12" s="7" t="n">
        <v>46153</v>
      </c>
      <c r="E12" s="5" t="s">
        <v>88</v>
      </c>
      <c r="F12" s="8" t="n">
        <v>90</v>
      </c>
      <c r="G12" s="5" t="s">
        <v>71</v>
      </c>
      <c r="H12" s="5" t="s">
        <v>86</v>
      </c>
      <c r="I12" s="5" t="s">
        <v>27</v>
      </c>
      <c r="J12" s="5" t="s">
        <v>85</v>
      </c>
      <c r="K12" s="5" t="n">
        <f aca="false">IF(AND(G12="deposit",J12="branch",F12&gt;=8000,F12&lt;10000),1,0)</f>
        <v>0</v>
      </c>
      <c r="L12" s="5" t="n">
        <f aca="false">IF(AND(G12="wire_out",MOD(F12,1000)=0,OR(I12="AE",I12="HK",I12="CY",I12="PA")),1,0)</f>
        <v>0</v>
      </c>
      <c r="M12" s="5" t="n">
        <f aca="false">IF(G12="wire_in",IF(SUMPRODUCT(($B$2:$B$191=B12)*($G$2:$G$191="wire_out")*($D$2:$D$191&gt;=D12)*($D$2:$D$191&lt;=D12+1)*($F$2:$F$191&gt;=F12*0.9)*($F$2:$F$191&lt;=F12))&gt;0,1,0),0)</f>
        <v>0</v>
      </c>
      <c r="N12" s="5" t="n">
        <f aca="false">COUNTIFS($B$2:$B$191,B12,$D$2:$D$191,D12)</f>
        <v>14</v>
      </c>
    </row>
    <row r="13" customFormat="false" ht="15" hidden="false" customHeight="false" outlineLevel="0" collapsed="false">
      <c r="A13" s="5" t="n">
        <v>12</v>
      </c>
      <c r="B13" s="5" t="n">
        <v>1030</v>
      </c>
      <c r="C13" s="5" t="s">
        <v>31</v>
      </c>
      <c r="D13" s="7" t="n">
        <v>46153</v>
      </c>
      <c r="E13" s="5" t="s">
        <v>89</v>
      </c>
      <c r="F13" s="8" t="n">
        <v>220</v>
      </c>
      <c r="G13" s="5" t="s">
        <v>71</v>
      </c>
      <c r="H13" s="5" t="s">
        <v>86</v>
      </c>
      <c r="I13" s="5" t="s">
        <v>27</v>
      </c>
      <c r="J13" s="5" t="s">
        <v>85</v>
      </c>
      <c r="K13" s="5" t="n">
        <f aca="false">IF(AND(G13="deposit",J13="branch",F13&gt;=8000,F13&lt;10000),1,0)</f>
        <v>0</v>
      </c>
      <c r="L13" s="5" t="n">
        <f aca="false">IF(AND(G13="wire_out",MOD(F13,1000)=0,OR(I13="AE",I13="HK",I13="CY",I13="PA")),1,0)</f>
        <v>0</v>
      </c>
      <c r="M13" s="5" t="n">
        <f aca="false">IF(G13="wire_in",IF(SUMPRODUCT(($B$2:$B$191=B13)*($G$2:$G$191="wire_out")*($D$2:$D$191&gt;=D13)*($D$2:$D$191&lt;=D13+1)*($F$2:$F$191&gt;=F13*0.9)*($F$2:$F$191&lt;=F13))&gt;0,1,0),0)</f>
        <v>0</v>
      </c>
      <c r="N13" s="5" t="n">
        <f aca="false">COUNTIFS($B$2:$B$191,B13,$D$2:$D$191,D13)</f>
        <v>14</v>
      </c>
    </row>
    <row r="14" customFormat="false" ht="15" hidden="false" customHeight="false" outlineLevel="0" collapsed="false">
      <c r="A14" s="5" t="n">
        <v>13</v>
      </c>
      <c r="B14" s="5" t="n">
        <v>1030</v>
      </c>
      <c r="C14" s="5" t="s">
        <v>31</v>
      </c>
      <c r="D14" s="7" t="n">
        <v>46153</v>
      </c>
      <c r="E14" s="5" t="s">
        <v>90</v>
      </c>
      <c r="F14" s="8" t="n">
        <v>220</v>
      </c>
      <c r="G14" s="5" t="s">
        <v>71</v>
      </c>
      <c r="H14" s="5" t="s">
        <v>86</v>
      </c>
      <c r="I14" s="5" t="s">
        <v>27</v>
      </c>
      <c r="J14" s="5" t="s">
        <v>85</v>
      </c>
      <c r="K14" s="5" t="n">
        <f aca="false">IF(AND(G14="deposit",J14="branch",F14&gt;=8000,F14&lt;10000),1,0)</f>
        <v>0</v>
      </c>
      <c r="L14" s="5" t="n">
        <f aca="false">IF(AND(G14="wire_out",MOD(F14,1000)=0,OR(I14="AE",I14="HK",I14="CY",I14="PA")),1,0)</f>
        <v>0</v>
      </c>
      <c r="M14" s="5" t="n">
        <f aca="false">IF(G14="wire_in",IF(SUMPRODUCT(($B$2:$B$191=B14)*($G$2:$G$191="wire_out")*($D$2:$D$191&gt;=D14)*($D$2:$D$191&lt;=D14+1)*($F$2:$F$191&gt;=F14*0.9)*($F$2:$F$191&lt;=F14))&gt;0,1,0),0)</f>
        <v>0</v>
      </c>
      <c r="N14" s="5" t="n">
        <f aca="false">COUNTIFS($B$2:$B$191,B14,$D$2:$D$191,D14)</f>
        <v>14</v>
      </c>
    </row>
    <row r="15" customFormat="false" ht="15" hidden="false" customHeight="false" outlineLevel="0" collapsed="false">
      <c r="A15" s="5" t="n">
        <v>14</v>
      </c>
      <c r="B15" s="5" t="n">
        <v>1030</v>
      </c>
      <c r="C15" s="5" t="s">
        <v>31</v>
      </c>
      <c r="D15" s="7" t="n">
        <v>46153</v>
      </c>
      <c r="E15" s="5" t="s">
        <v>91</v>
      </c>
      <c r="F15" s="8" t="n">
        <v>220</v>
      </c>
      <c r="G15" s="5" t="s">
        <v>71</v>
      </c>
      <c r="H15" s="5" t="s">
        <v>86</v>
      </c>
      <c r="I15" s="5" t="s">
        <v>27</v>
      </c>
      <c r="J15" s="5" t="s">
        <v>85</v>
      </c>
      <c r="K15" s="5" t="n">
        <f aca="false">IF(AND(G15="deposit",J15="branch",F15&gt;=8000,F15&lt;10000),1,0)</f>
        <v>0</v>
      </c>
      <c r="L15" s="5" t="n">
        <f aca="false">IF(AND(G15="wire_out",MOD(F15,1000)=0,OR(I15="AE",I15="HK",I15="CY",I15="PA")),1,0)</f>
        <v>0</v>
      </c>
      <c r="M15" s="5" t="n">
        <f aca="false">IF(G15="wire_in",IF(SUMPRODUCT(($B$2:$B$191=B15)*($G$2:$G$191="wire_out")*($D$2:$D$191&gt;=D15)*($D$2:$D$191&lt;=D15+1)*($F$2:$F$191&gt;=F15*0.9)*($F$2:$F$191&lt;=F15))&gt;0,1,0),0)</f>
        <v>0</v>
      </c>
      <c r="N15" s="5" t="n">
        <f aca="false">COUNTIFS($B$2:$B$191,B15,$D$2:$D$191,D15)</f>
        <v>14</v>
      </c>
    </row>
    <row r="16" customFormat="false" ht="15" hidden="false" customHeight="false" outlineLevel="0" collapsed="false">
      <c r="A16" s="5" t="n">
        <v>15</v>
      </c>
      <c r="B16" s="5" t="n">
        <v>1030</v>
      </c>
      <c r="C16" s="5" t="s">
        <v>31</v>
      </c>
      <c r="D16" s="7" t="n">
        <v>46153</v>
      </c>
      <c r="E16" s="5" t="s">
        <v>92</v>
      </c>
      <c r="F16" s="8" t="n">
        <v>150</v>
      </c>
      <c r="G16" s="5" t="s">
        <v>71</v>
      </c>
      <c r="H16" s="5" t="s">
        <v>86</v>
      </c>
      <c r="I16" s="5" t="s">
        <v>27</v>
      </c>
      <c r="J16" s="5" t="s">
        <v>85</v>
      </c>
      <c r="K16" s="5" t="n">
        <f aca="false">IF(AND(G16="deposit",J16="branch",F16&gt;=8000,F16&lt;10000),1,0)</f>
        <v>0</v>
      </c>
      <c r="L16" s="5" t="n">
        <f aca="false">IF(AND(G16="wire_out",MOD(F16,1000)=0,OR(I16="AE",I16="HK",I16="CY",I16="PA")),1,0)</f>
        <v>0</v>
      </c>
      <c r="M16" s="5" t="n">
        <f aca="false">IF(G16="wire_in",IF(SUMPRODUCT(($B$2:$B$191=B16)*($G$2:$G$191="wire_out")*($D$2:$D$191&gt;=D16)*($D$2:$D$191&lt;=D16+1)*($F$2:$F$191&gt;=F16*0.9)*($F$2:$F$191&lt;=F16))&gt;0,1,0),0)</f>
        <v>0</v>
      </c>
      <c r="N16" s="5" t="n">
        <f aca="false">COUNTIFS($B$2:$B$191,B16,$D$2:$D$191,D16)</f>
        <v>14</v>
      </c>
    </row>
    <row r="17" customFormat="false" ht="15" hidden="false" customHeight="false" outlineLevel="0" collapsed="false">
      <c r="A17" s="5" t="n">
        <v>16</v>
      </c>
      <c r="B17" s="5" t="n">
        <v>1030</v>
      </c>
      <c r="C17" s="5" t="s">
        <v>31</v>
      </c>
      <c r="D17" s="7" t="n">
        <v>46153</v>
      </c>
      <c r="E17" s="5" t="s">
        <v>93</v>
      </c>
      <c r="F17" s="8" t="n">
        <v>75</v>
      </c>
      <c r="G17" s="5" t="s">
        <v>71</v>
      </c>
      <c r="H17" s="5" t="s">
        <v>86</v>
      </c>
      <c r="I17" s="5" t="s">
        <v>27</v>
      </c>
      <c r="J17" s="5" t="s">
        <v>85</v>
      </c>
      <c r="K17" s="5" t="n">
        <f aca="false">IF(AND(G17="deposit",J17="branch",F17&gt;=8000,F17&lt;10000),1,0)</f>
        <v>0</v>
      </c>
      <c r="L17" s="5" t="n">
        <f aca="false">IF(AND(G17="wire_out",MOD(F17,1000)=0,OR(I17="AE",I17="HK",I17="CY",I17="PA")),1,0)</f>
        <v>0</v>
      </c>
      <c r="M17" s="5" t="n">
        <f aca="false">IF(G17="wire_in",IF(SUMPRODUCT(($B$2:$B$191=B17)*($G$2:$G$191="wire_out")*($D$2:$D$191&gt;=D17)*($D$2:$D$191&lt;=D17+1)*($F$2:$F$191&gt;=F17*0.9)*($F$2:$F$191&lt;=F17))&gt;0,1,0),0)</f>
        <v>0</v>
      </c>
      <c r="N17" s="5" t="n">
        <f aca="false">COUNTIFS($B$2:$B$191,B17,$D$2:$D$191,D17)</f>
        <v>14</v>
      </c>
    </row>
    <row r="18" customFormat="false" ht="15" hidden="false" customHeight="false" outlineLevel="0" collapsed="false">
      <c r="A18" s="5" t="n">
        <v>17</v>
      </c>
      <c r="B18" s="5" t="n">
        <v>1030</v>
      </c>
      <c r="C18" s="5" t="s">
        <v>31</v>
      </c>
      <c r="D18" s="7" t="n">
        <v>46153</v>
      </c>
      <c r="E18" s="5" t="s">
        <v>94</v>
      </c>
      <c r="F18" s="8" t="n">
        <v>150</v>
      </c>
      <c r="G18" s="5" t="s">
        <v>71</v>
      </c>
      <c r="H18" s="5" t="s">
        <v>86</v>
      </c>
      <c r="I18" s="5" t="s">
        <v>27</v>
      </c>
      <c r="J18" s="5" t="s">
        <v>85</v>
      </c>
      <c r="K18" s="5" t="n">
        <f aca="false">IF(AND(G18="deposit",J18="branch",F18&gt;=8000,F18&lt;10000),1,0)</f>
        <v>0</v>
      </c>
      <c r="L18" s="5" t="n">
        <f aca="false">IF(AND(G18="wire_out",MOD(F18,1000)=0,OR(I18="AE",I18="HK",I18="CY",I18="PA")),1,0)</f>
        <v>0</v>
      </c>
      <c r="M18" s="5" t="n">
        <f aca="false">IF(G18="wire_in",IF(SUMPRODUCT(($B$2:$B$191=B18)*($G$2:$G$191="wire_out")*($D$2:$D$191&gt;=D18)*($D$2:$D$191&lt;=D18+1)*($F$2:$F$191&gt;=F18*0.9)*($F$2:$F$191&lt;=F18))&gt;0,1,0),0)</f>
        <v>0</v>
      </c>
      <c r="N18" s="5" t="n">
        <f aca="false">COUNTIFS($B$2:$B$191,B18,$D$2:$D$191,D18)</f>
        <v>14</v>
      </c>
    </row>
    <row r="19" customFormat="false" ht="15" hidden="false" customHeight="false" outlineLevel="0" collapsed="false">
      <c r="A19" s="5" t="n">
        <v>18</v>
      </c>
      <c r="B19" s="5" t="n">
        <v>1030</v>
      </c>
      <c r="C19" s="5" t="s">
        <v>31</v>
      </c>
      <c r="D19" s="7" t="n">
        <v>46153</v>
      </c>
      <c r="E19" s="5" t="s">
        <v>95</v>
      </c>
      <c r="F19" s="8" t="n">
        <v>75</v>
      </c>
      <c r="G19" s="5" t="s">
        <v>71</v>
      </c>
      <c r="H19" s="5" t="s">
        <v>86</v>
      </c>
      <c r="I19" s="5" t="s">
        <v>27</v>
      </c>
      <c r="J19" s="5" t="s">
        <v>85</v>
      </c>
      <c r="K19" s="5" t="n">
        <f aca="false">IF(AND(G19="deposit",J19="branch",F19&gt;=8000,F19&lt;10000),1,0)</f>
        <v>0</v>
      </c>
      <c r="L19" s="5" t="n">
        <f aca="false">IF(AND(G19="wire_out",MOD(F19,1000)=0,OR(I19="AE",I19="HK",I19="CY",I19="PA")),1,0)</f>
        <v>0</v>
      </c>
      <c r="M19" s="5" t="n">
        <f aca="false">IF(G19="wire_in",IF(SUMPRODUCT(($B$2:$B$191=B19)*($G$2:$G$191="wire_out")*($D$2:$D$191&gt;=D19)*($D$2:$D$191&lt;=D19+1)*($F$2:$F$191&gt;=F19*0.9)*($F$2:$F$191&lt;=F19))&gt;0,1,0),0)</f>
        <v>0</v>
      </c>
      <c r="N19" s="5" t="n">
        <f aca="false">COUNTIFS($B$2:$B$191,B19,$D$2:$D$191,D19)</f>
        <v>14</v>
      </c>
    </row>
    <row r="20" customFormat="false" ht="15" hidden="false" customHeight="false" outlineLevel="0" collapsed="false">
      <c r="A20" s="5" t="n">
        <v>19</v>
      </c>
      <c r="B20" s="5" t="n">
        <v>1030</v>
      </c>
      <c r="C20" s="5" t="s">
        <v>31</v>
      </c>
      <c r="D20" s="7" t="n">
        <v>46153</v>
      </c>
      <c r="E20" s="5" t="s">
        <v>96</v>
      </c>
      <c r="F20" s="8" t="n">
        <v>300</v>
      </c>
      <c r="G20" s="5" t="s">
        <v>71</v>
      </c>
      <c r="H20" s="5" t="s">
        <v>86</v>
      </c>
      <c r="I20" s="5" t="s">
        <v>27</v>
      </c>
      <c r="J20" s="5" t="s">
        <v>85</v>
      </c>
      <c r="K20" s="5" t="n">
        <f aca="false">IF(AND(G20="deposit",J20="branch",F20&gt;=8000,F20&lt;10000),1,0)</f>
        <v>0</v>
      </c>
      <c r="L20" s="5" t="n">
        <f aca="false">IF(AND(G20="wire_out",MOD(F20,1000)=0,OR(I20="AE",I20="HK",I20="CY",I20="PA")),1,0)</f>
        <v>0</v>
      </c>
      <c r="M20" s="5" t="n">
        <f aca="false">IF(G20="wire_in",IF(SUMPRODUCT(($B$2:$B$191=B20)*($G$2:$G$191="wire_out")*($D$2:$D$191&gt;=D20)*($D$2:$D$191&lt;=D20+1)*($F$2:$F$191&gt;=F20*0.9)*($F$2:$F$191&lt;=F20))&gt;0,1,0),0)</f>
        <v>0</v>
      </c>
      <c r="N20" s="5" t="n">
        <f aca="false">COUNTIFS($B$2:$B$191,B20,$D$2:$D$191,D20)</f>
        <v>14</v>
      </c>
    </row>
    <row r="21" customFormat="false" ht="15" hidden="false" customHeight="false" outlineLevel="0" collapsed="false">
      <c r="A21" s="5" t="n">
        <v>20</v>
      </c>
      <c r="B21" s="5" t="n">
        <v>1030</v>
      </c>
      <c r="C21" s="5" t="s">
        <v>31</v>
      </c>
      <c r="D21" s="7" t="n">
        <v>46153</v>
      </c>
      <c r="E21" s="5" t="s">
        <v>97</v>
      </c>
      <c r="F21" s="8" t="n">
        <v>150</v>
      </c>
      <c r="G21" s="5" t="s">
        <v>71</v>
      </c>
      <c r="H21" s="5" t="s">
        <v>86</v>
      </c>
      <c r="I21" s="5" t="s">
        <v>27</v>
      </c>
      <c r="J21" s="5" t="s">
        <v>85</v>
      </c>
      <c r="K21" s="5" t="n">
        <f aca="false">IF(AND(G21="deposit",J21="branch",F21&gt;=8000,F21&lt;10000),1,0)</f>
        <v>0</v>
      </c>
      <c r="L21" s="5" t="n">
        <f aca="false">IF(AND(G21="wire_out",MOD(F21,1000)=0,OR(I21="AE",I21="HK",I21="CY",I21="PA")),1,0)</f>
        <v>0</v>
      </c>
      <c r="M21" s="5" t="n">
        <f aca="false">IF(G21="wire_in",IF(SUMPRODUCT(($B$2:$B$191=B21)*($G$2:$G$191="wire_out")*($D$2:$D$191&gt;=D21)*($D$2:$D$191&lt;=D21+1)*($F$2:$F$191&gt;=F21*0.9)*($F$2:$F$191&lt;=F21))&gt;0,1,0),0)</f>
        <v>0</v>
      </c>
      <c r="N21" s="5" t="n">
        <f aca="false">COUNTIFS($B$2:$B$191,B21,$D$2:$D$191,D21)</f>
        <v>14</v>
      </c>
    </row>
    <row r="22" customFormat="false" ht="15" hidden="false" customHeight="false" outlineLevel="0" collapsed="false">
      <c r="A22" s="5" t="n">
        <v>21</v>
      </c>
      <c r="B22" s="5" t="n">
        <v>1030</v>
      </c>
      <c r="C22" s="5" t="s">
        <v>31</v>
      </c>
      <c r="D22" s="7" t="n">
        <v>46153</v>
      </c>
      <c r="E22" s="5" t="s">
        <v>98</v>
      </c>
      <c r="F22" s="8" t="n">
        <v>150</v>
      </c>
      <c r="G22" s="5" t="s">
        <v>71</v>
      </c>
      <c r="H22" s="5" t="s">
        <v>86</v>
      </c>
      <c r="I22" s="5" t="s">
        <v>27</v>
      </c>
      <c r="J22" s="5" t="s">
        <v>85</v>
      </c>
      <c r="K22" s="5" t="n">
        <f aca="false">IF(AND(G22="deposit",J22="branch",F22&gt;=8000,F22&lt;10000),1,0)</f>
        <v>0</v>
      </c>
      <c r="L22" s="5" t="n">
        <f aca="false">IF(AND(G22="wire_out",MOD(F22,1000)=0,OR(I22="AE",I22="HK",I22="CY",I22="PA")),1,0)</f>
        <v>0</v>
      </c>
      <c r="M22" s="5" t="n">
        <f aca="false">IF(G22="wire_in",IF(SUMPRODUCT(($B$2:$B$191=B22)*($G$2:$G$191="wire_out")*($D$2:$D$191&gt;=D22)*($D$2:$D$191&lt;=D22+1)*($F$2:$F$191&gt;=F22*0.9)*($F$2:$F$191&lt;=F22))&gt;0,1,0),0)</f>
        <v>0</v>
      </c>
      <c r="N22" s="5" t="n">
        <f aca="false">COUNTIFS($B$2:$B$191,B22,$D$2:$D$191,D22)</f>
        <v>14</v>
      </c>
    </row>
    <row r="23" customFormat="false" ht="15" hidden="false" customHeight="false" outlineLevel="0" collapsed="false">
      <c r="A23" s="5" t="n">
        <v>22</v>
      </c>
      <c r="B23" s="5" t="n">
        <v>1030</v>
      </c>
      <c r="C23" s="5" t="s">
        <v>31</v>
      </c>
      <c r="D23" s="7" t="n">
        <v>46153</v>
      </c>
      <c r="E23" s="5" t="s">
        <v>99</v>
      </c>
      <c r="F23" s="8" t="n">
        <v>150</v>
      </c>
      <c r="G23" s="5" t="s">
        <v>71</v>
      </c>
      <c r="H23" s="5" t="s">
        <v>86</v>
      </c>
      <c r="I23" s="5" t="s">
        <v>27</v>
      </c>
      <c r="J23" s="5" t="s">
        <v>85</v>
      </c>
      <c r="K23" s="5" t="n">
        <f aca="false">IF(AND(G23="deposit",J23="branch",F23&gt;=8000,F23&lt;10000),1,0)</f>
        <v>0</v>
      </c>
      <c r="L23" s="5" t="n">
        <f aca="false">IF(AND(G23="wire_out",MOD(F23,1000)=0,OR(I23="AE",I23="HK",I23="CY",I23="PA")),1,0)</f>
        <v>0</v>
      </c>
      <c r="M23" s="5" t="n">
        <f aca="false">IF(G23="wire_in",IF(SUMPRODUCT(($B$2:$B$191=B23)*($G$2:$G$191="wire_out")*($D$2:$D$191&gt;=D23)*($D$2:$D$191&lt;=D23+1)*($F$2:$F$191&gt;=F23*0.9)*($F$2:$F$191&lt;=F23))&gt;0,1,0),0)</f>
        <v>0</v>
      </c>
      <c r="N23" s="5" t="n">
        <f aca="false">COUNTIFS($B$2:$B$191,B23,$D$2:$D$191,D23)</f>
        <v>14</v>
      </c>
    </row>
    <row r="24" customFormat="false" ht="15" hidden="false" customHeight="false" outlineLevel="0" collapsed="false">
      <c r="A24" s="5" t="n">
        <v>23</v>
      </c>
      <c r="B24" s="5" t="n">
        <v>1040</v>
      </c>
      <c r="C24" s="5" t="s">
        <v>33</v>
      </c>
      <c r="D24" s="7" t="n">
        <v>46175</v>
      </c>
      <c r="E24" s="5" t="s">
        <v>100</v>
      </c>
      <c r="F24" s="8" t="n">
        <v>20000</v>
      </c>
      <c r="G24" s="5" t="s">
        <v>80</v>
      </c>
      <c r="H24" s="5" t="s">
        <v>101</v>
      </c>
      <c r="I24" s="5" t="s">
        <v>77</v>
      </c>
      <c r="J24" s="5" t="s">
        <v>78</v>
      </c>
      <c r="K24" s="5" t="n">
        <f aca="false">IF(AND(G24="deposit",J24="branch",F24&gt;=8000,F24&lt;10000),1,0)</f>
        <v>0</v>
      </c>
      <c r="L24" s="5" t="n">
        <f aca="false">IF(AND(G24="wire_out",MOD(F24,1000)=0,OR(I24="AE",I24="HK",I24="CY",I24="PA")),1,0)</f>
        <v>1</v>
      </c>
      <c r="M24" s="5" t="n">
        <f aca="false">IF(G24="wire_in",IF(SUMPRODUCT(($B$2:$B$191=B24)*($G$2:$G$191="wire_out")*($D$2:$D$191&gt;=D24)*($D$2:$D$191&lt;=D24+1)*($F$2:$F$191&gt;=F24*0.9)*($F$2:$F$191&lt;=F24))&gt;0,1,0),0)</f>
        <v>0</v>
      </c>
      <c r="N24" s="5" t="n">
        <f aca="false">COUNTIFS($B$2:$B$191,B24,$D$2:$D$191,D24)</f>
        <v>1</v>
      </c>
    </row>
    <row r="25" customFormat="false" ht="15" hidden="false" customHeight="false" outlineLevel="0" collapsed="false">
      <c r="A25" s="5" t="n">
        <v>24</v>
      </c>
      <c r="B25" s="5" t="n">
        <v>1040</v>
      </c>
      <c r="C25" s="5" t="s">
        <v>33</v>
      </c>
      <c r="D25" s="7" t="n">
        <v>46182</v>
      </c>
      <c r="E25" s="5" t="s">
        <v>100</v>
      </c>
      <c r="F25" s="8" t="n">
        <v>20000</v>
      </c>
      <c r="G25" s="5" t="s">
        <v>80</v>
      </c>
      <c r="H25" s="5" t="s">
        <v>101</v>
      </c>
      <c r="I25" s="5" t="s">
        <v>77</v>
      </c>
      <c r="J25" s="5" t="s">
        <v>78</v>
      </c>
      <c r="K25" s="5" t="n">
        <f aca="false">IF(AND(G25="deposit",J25="branch",F25&gt;=8000,F25&lt;10000),1,0)</f>
        <v>0</v>
      </c>
      <c r="L25" s="5" t="n">
        <f aca="false">IF(AND(G25="wire_out",MOD(F25,1000)=0,OR(I25="AE",I25="HK",I25="CY",I25="PA")),1,0)</f>
        <v>1</v>
      </c>
      <c r="M25" s="5" t="n">
        <f aca="false">IF(G25="wire_in",IF(SUMPRODUCT(($B$2:$B$191=B25)*($G$2:$G$191="wire_out")*($D$2:$D$191&gt;=D25)*($D$2:$D$191&lt;=D25+1)*($F$2:$F$191&gt;=F25*0.9)*($F$2:$F$191&lt;=F25))&gt;0,1,0),0)</f>
        <v>0</v>
      </c>
      <c r="N25" s="5" t="n">
        <f aca="false">COUNTIFS($B$2:$B$191,B25,$D$2:$D$191,D25)</f>
        <v>1</v>
      </c>
    </row>
    <row r="26" customFormat="false" ht="15" hidden="false" customHeight="false" outlineLevel="0" collapsed="false">
      <c r="A26" s="5" t="n">
        <v>25</v>
      </c>
      <c r="B26" s="5" t="n">
        <v>1040</v>
      </c>
      <c r="C26" s="5" t="s">
        <v>33</v>
      </c>
      <c r="D26" s="7" t="n">
        <v>46189</v>
      </c>
      <c r="E26" s="5" t="s">
        <v>100</v>
      </c>
      <c r="F26" s="8" t="n">
        <v>20000</v>
      </c>
      <c r="G26" s="5" t="s">
        <v>80</v>
      </c>
      <c r="H26" s="5" t="s">
        <v>101</v>
      </c>
      <c r="I26" s="5" t="s">
        <v>77</v>
      </c>
      <c r="J26" s="5" t="s">
        <v>78</v>
      </c>
      <c r="K26" s="5" t="n">
        <f aca="false">IF(AND(G26="deposit",J26="branch",F26&gt;=8000,F26&lt;10000),1,0)</f>
        <v>0</v>
      </c>
      <c r="L26" s="5" t="n">
        <f aca="false">IF(AND(G26="wire_out",MOD(F26,1000)=0,OR(I26="AE",I26="HK",I26="CY",I26="PA")),1,0)</f>
        <v>1</v>
      </c>
      <c r="M26" s="5" t="n">
        <f aca="false">IF(G26="wire_in",IF(SUMPRODUCT(($B$2:$B$191=B26)*($G$2:$G$191="wire_out")*($D$2:$D$191&gt;=D26)*($D$2:$D$191&lt;=D26+1)*($F$2:$F$191&gt;=F26*0.9)*($F$2:$F$191&lt;=F26))&gt;0,1,0),0)</f>
        <v>0</v>
      </c>
      <c r="N26" s="5" t="n">
        <f aca="false">COUNTIFS($B$2:$B$191,B26,$D$2:$D$191,D26)</f>
        <v>1</v>
      </c>
    </row>
    <row r="27" customFormat="false" ht="15" hidden="false" customHeight="false" outlineLevel="0" collapsed="false">
      <c r="A27" s="5" t="n">
        <v>26</v>
      </c>
      <c r="B27" s="5" t="n">
        <v>1040</v>
      </c>
      <c r="C27" s="5" t="s">
        <v>33</v>
      </c>
      <c r="D27" s="7" t="n">
        <v>46196</v>
      </c>
      <c r="E27" s="5" t="s">
        <v>100</v>
      </c>
      <c r="F27" s="8" t="n">
        <v>20000</v>
      </c>
      <c r="G27" s="5" t="s">
        <v>80</v>
      </c>
      <c r="H27" s="5" t="s">
        <v>101</v>
      </c>
      <c r="I27" s="5" t="s">
        <v>77</v>
      </c>
      <c r="J27" s="5" t="s">
        <v>78</v>
      </c>
      <c r="K27" s="5" t="n">
        <f aca="false">IF(AND(G27="deposit",J27="branch",F27&gt;=8000,F27&lt;10000),1,0)</f>
        <v>0</v>
      </c>
      <c r="L27" s="5" t="n">
        <f aca="false">IF(AND(G27="wire_out",MOD(F27,1000)=0,OR(I27="AE",I27="HK",I27="CY",I27="PA")),1,0)</f>
        <v>1</v>
      </c>
      <c r="M27" s="5" t="n">
        <f aca="false">IF(G27="wire_in",IF(SUMPRODUCT(($B$2:$B$191=B27)*($G$2:$G$191="wire_out")*($D$2:$D$191&gt;=D27)*($D$2:$D$191&lt;=D27+1)*($F$2:$F$191&gt;=F27*0.9)*($F$2:$F$191&lt;=F27))&gt;0,1,0),0)</f>
        <v>0</v>
      </c>
      <c r="N27" s="5" t="n">
        <f aca="false">COUNTIFS($B$2:$B$191,B27,$D$2:$D$191,D27)</f>
        <v>1</v>
      </c>
    </row>
    <row r="28" customFormat="false" ht="15" hidden="false" customHeight="false" outlineLevel="0" collapsed="false">
      <c r="A28" s="5" t="n">
        <v>27</v>
      </c>
      <c r="B28" s="5" t="n">
        <v>1050</v>
      </c>
      <c r="C28" s="5" t="s">
        <v>35</v>
      </c>
      <c r="D28" s="7" t="n">
        <v>46039</v>
      </c>
      <c r="E28" s="5" t="s">
        <v>102</v>
      </c>
      <c r="F28" s="8" t="n">
        <v>648.73</v>
      </c>
      <c r="G28" s="5" t="s">
        <v>71</v>
      </c>
      <c r="H28" s="5" t="s">
        <v>103</v>
      </c>
      <c r="I28" s="5" t="s">
        <v>27</v>
      </c>
      <c r="J28" s="5" t="s">
        <v>66</v>
      </c>
      <c r="K28" s="5" t="n">
        <f aca="false">IF(AND(G28="deposit",J28="branch",F28&gt;=8000,F28&lt;10000),1,0)</f>
        <v>0</v>
      </c>
      <c r="L28" s="5" t="n">
        <f aca="false">IF(AND(G28="wire_out",MOD(F28,1000)=0,OR(I28="AE",I28="HK",I28="CY",I28="PA")),1,0)</f>
        <v>0</v>
      </c>
      <c r="M28" s="5" t="n">
        <f aca="false">IF(G28="wire_in",IF(SUMPRODUCT(($B$2:$B$191=B28)*($G$2:$G$191="wire_out")*($D$2:$D$191&gt;=D28)*($D$2:$D$191&lt;=D28+1)*($F$2:$F$191&gt;=F28*0.9)*($F$2:$F$191&lt;=F28))&gt;0,1,0),0)</f>
        <v>0</v>
      </c>
      <c r="N28" s="5" t="n">
        <f aca="false">COUNTIFS($B$2:$B$191,B28,$D$2:$D$191,D28)</f>
        <v>1</v>
      </c>
    </row>
    <row r="29" customFormat="false" ht="15" hidden="false" customHeight="false" outlineLevel="0" collapsed="false">
      <c r="A29" s="5" t="n">
        <v>28</v>
      </c>
      <c r="B29" s="5" t="n">
        <v>1050</v>
      </c>
      <c r="C29" s="5" t="s">
        <v>35</v>
      </c>
      <c r="D29" s="7" t="n">
        <v>46049</v>
      </c>
      <c r="E29" s="5" t="s">
        <v>102</v>
      </c>
      <c r="F29" s="8" t="n">
        <v>296.38</v>
      </c>
      <c r="G29" s="5" t="s">
        <v>64</v>
      </c>
      <c r="H29" s="5" t="s">
        <v>104</v>
      </c>
      <c r="I29" s="5" t="s">
        <v>27</v>
      </c>
      <c r="J29" s="5" t="s">
        <v>73</v>
      </c>
      <c r="K29" s="5" t="n">
        <f aca="false">IF(AND(G29="deposit",J29="branch",F29&gt;=8000,F29&lt;10000),1,0)</f>
        <v>0</v>
      </c>
      <c r="L29" s="5" t="n">
        <f aca="false">IF(AND(G29="wire_out",MOD(F29,1000)=0,OR(I29="AE",I29="HK",I29="CY",I29="PA")),1,0)</f>
        <v>0</v>
      </c>
      <c r="M29" s="5" t="n">
        <f aca="false">IF(G29="wire_in",IF(SUMPRODUCT(($B$2:$B$191=B29)*($G$2:$G$191="wire_out")*($D$2:$D$191&gt;=D29)*($D$2:$D$191&lt;=D29+1)*($F$2:$F$191&gt;=F29*0.9)*($F$2:$F$191&lt;=F29))&gt;0,1,0),0)</f>
        <v>0</v>
      </c>
      <c r="N29" s="5" t="n">
        <f aca="false">COUNTIFS($B$2:$B$191,B29,$D$2:$D$191,D29)</f>
        <v>1</v>
      </c>
    </row>
    <row r="30" customFormat="false" ht="15" hidden="false" customHeight="false" outlineLevel="0" collapsed="false">
      <c r="A30" s="5" t="n">
        <v>29</v>
      </c>
      <c r="B30" s="5" t="n">
        <v>1050</v>
      </c>
      <c r="C30" s="5" t="s">
        <v>35</v>
      </c>
      <c r="D30" s="7" t="n">
        <v>46054</v>
      </c>
      <c r="E30" s="5" t="s">
        <v>102</v>
      </c>
      <c r="F30" s="8" t="n">
        <v>2919.88</v>
      </c>
      <c r="G30" s="5" t="s">
        <v>71</v>
      </c>
      <c r="H30" s="5" t="s">
        <v>84</v>
      </c>
      <c r="I30" s="5" t="s">
        <v>27</v>
      </c>
      <c r="J30" s="5" t="s">
        <v>66</v>
      </c>
      <c r="K30" s="5" t="n">
        <f aca="false">IF(AND(G30="deposit",J30="branch",F30&gt;=8000,F30&lt;10000),1,0)</f>
        <v>0</v>
      </c>
      <c r="L30" s="5" t="n">
        <f aca="false">IF(AND(G30="wire_out",MOD(F30,1000)=0,OR(I30="AE",I30="HK",I30="CY",I30="PA")),1,0)</f>
        <v>0</v>
      </c>
      <c r="M30" s="5" t="n">
        <f aca="false">IF(G30="wire_in",IF(SUMPRODUCT(($B$2:$B$191=B30)*($G$2:$G$191="wire_out")*($D$2:$D$191&gt;=D30)*($D$2:$D$191&lt;=D30+1)*($F$2:$F$191&gt;=F30*0.9)*($F$2:$F$191&lt;=F30))&gt;0,1,0),0)</f>
        <v>0</v>
      </c>
      <c r="N30" s="5" t="n">
        <f aca="false">COUNTIFS($B$2:$B$191,B30,$D$2:$D$191,D30)</f>
        <v>1</v>
      </c>
    </row>
    <row r="31" customFormat="false" ht="15" hidden="false" customHeight="false" outlineLevel="0" collapsed="false">
      <c r="A31" s="5" t="n">
        <v>30</v>
      </c>
      <c r="B31" s="5" t="n">
        <v>1050</v>
      </c>
      <c r="C31" s="5" t="s">
        <v>35</v>
      </c>
      <c r="D31" s="7" t="n">
        <v>46058</v>
      </c>
      <c r="E31" s="5" t="s">
        <v>102</v>
      </c>
      <c r="F31" s="8" t="n">
        <v>754.95</v>
      </c>
      <c r="G31" s="5" t="s">
        <v>71</v>
      </c>
      <c r="H31" s="5" t="s">
        <v>72</v>
      </c>
      <c r="I31" s="5" t="s">
        <v>27</v>
      </c>
      <c r="J31" s="5" t="s">
        <v>73</v>
      </c>
      <c r="K31" s="5" t="n">
        <f aca="false">IF(AND(G31="deposit",J31="branch",F31&gt;=8000,F31&lt;10000),1,0)</f>
        <v>0</v>
      </c>
      <c r="L31" s="5" t="n">
        <f aca="false">IF(AND(G31="wire_out",MOD(F31,1000)=0,OR(I31="AE",I31="HK",I31="CY",I31="PA")),1,0)</f>
        <v>0</v>
      </c>
      <c r="M31" s="5" t="n">
        <f aca="false">IF(G31="wire_in",IF(SUMPRODUCT(($B$2:$B$191=B31)*($G$2:$G$191="wire_out")*($D$2:$D$191&gt;=D31)*($D$2:$D$191&lt;=D31+1)*($F$2:$F$191&gt;=F31*0.9)*($F$2:$F$191&lt;=F31))&gt;0,1,0),0)</f>
        <v>0</v>
      </c>
      <c r="N31" s="5" t="n">
        <f aca="false">COUNTIFS($B$2:$B$191,B31,$D$2:$D$191,D31)</f>
        <v>1</v>
      </c>
    </row>
    <row r="32" customFormat="false" ht="15" hidden="false" customHeight="false" outlineLevel="0" collapsed="false">
      <c r="A32" s="5" t="n">
        <v>31</v>
      </c>
      <c r="B32" s="5" t="n">
        <v>1050</v>
      </c>
      <c r="C32" s="5" t="s">
        <v>35</v>
      </c>
      <c r="D32" s="7" t="n">
        <v>46081</v>
      </c>
      <c r="E32" s="5" t="s">
        <v>102</v>
      </c>
      <c r="F32" s="8" t="n">
        <v>2468.97</v>
      </c>
      <c r="G32" s="5" t="s">
        <v>71</v>
      </c>
      <c r="H32" s="5" t="s">
        <v>105</v>
      </c>
      <c r="I32" s="5" t="s">
        <v>27</v>
      </c>
      <c r="J32" s="5" t="s">
        <v>73</v>
      </c>
      <c r="K32" s="5" t="n">
        <f aca="false">IF(AND(G32="deposit",J32="branch",F32&gt;=8000,F32&lt;10000),1,0)</f>
        <v>0</v>
      </c>
      <c r="L32" s="5" t="n">
        <f aca="false">IF(AND(G32="wire_out",MOD(F32,1000)=0,OR(I32="AE",I32="HK",I32="CY",I32="PA")),1,0)</f>
        <v>0</v>
      </c>
      <c r="M32" s="5" t="n">
        <f aca="false">IF(G32="wire_in",IF(SUMPRODUCT(($B$2:$B$191=B32)*($G$2:$G$191="wire_out")*($D$2:$D$191&gt;=D32)*($D$2:$D$191&lt;=D32+1)*($F$2:$F$191&gt;=F32*0.9)*($F$2:$F$191&lt;=F32))&gt;0,1,0),0)</f>
        <v>0</v>
      </c>
      <c r="N32" s="5" t="n">
        <f aca="false">COUNTIFS($B$2:$B$191,B32,$D$2:$D$191,D32)</f>
        <v>1</v>
      </c>
    </row>
    <row r="33" customFormat="false" ht="15" hidden="false" customHeight="false" outlineLevel="0" collapsed="false">
      <c r="A33" s="5" t="n">
        <v>32</v>
      </c>
      <c r="B33" s="5" t="n">
        <v>1050</v>
      </c>
      <c r="C33" s="5" t="s">
        <v>35</v>
      </c>
      <c r="D33" s="7" t="n">
        <v>46082</v>
      </c>
      <c r="E33" s="5" t="s">
        <v>102</v>
      </c>
      <c r="F33" s="8" t="n">
        <v>1525.96</v>
      </c>
      <c r="G33" s="5" t="s">
        <v>64</v>
      </c>
      <c r="H33" s="5" t="s">
        <v>72</v>
      </c>
      <c r="I33" s="5" t="s">
        <v>27</v>
      </c>
      <c r="J33" s="5" t="s">
        <v>85</v>
      </c>
      <c r="K33" s="5" t="n">
        <f aca="false">IF(AND(G33="deposit",J33="branch",F33&gt;=8000,F33&lt;10000),1,0)</f>
        <v>0</v>
      </c>
      <c r="L33" s="5" t="n">
        <f aca="false">IF(AND(G33="wire_out",MOD(F33,1000)=0,OR(I33="AE",I33="HK",I33="CY",I33="PA")),1,0)</f>
        <v>0</v>
      </c>
      <c r="M33" s="5" t="n">
        <f aca="false">IF(G33="wire_in",IF(SUMPRODUCT(($B$2:$B$191=B33)*($G$2:$G$191="wire_out")*($D$2:$D$191&gt;=D33)*($D$2:$D$191&lt;=D33+1)*($F$2:$F$191&gt;=F33*0.9)*($F$2:$F$191&lt;=F33))&gt;0,1,0),0)</f>
        <v>0</v>
      </c>
      <c r="N33" s="5" t="n">
        <f aca="false">COUNTIFS($B$2:$B$191,B33,$D$2:$D$191,D33)</f>
        <v>1</v>
      </c>
    </row>
    <row r="34" customFormat="false" ht="15" hidden="false" customHeight="false" outlineLevel="0" collapsed="false">
      <c r="A34" s="5" t="n">
        <v>33</v>
      </c>
      <c r="B34" s="5" t="n">
        <v>1050</v>
      </c>
      <c r="C34" s="5" t="s">
        <v>35</v>
      </c>
      <c r="D34" s="7" t="n">
        <v>46098</v>
      </c>
      <c r="E34" s="5" t="s">
        <v>102</v>
      </c>
      <c r="F34" s="8" t="n">
        <v>2491.63</v>
      </c>
      <c r="G34" s="5" t="s">
        <v>71</v>
      </c>
      <c r="H34" s="5" t="s">
        <v>72</v>
      </c>
      <c r="I34" s="5" t="s">
        <v>27</v>
      </c>
      <c r="J34" s="5" t="s">
        <v>85</v>
      </c>
      <c r="K34" s="5" t="n">
        <f aca="false">IF(AND(G34="deposit",J34="branch",F34&gt;=8000,F34&lt;10000),1,0)</f>
        <v>0</v>
      </c>
      <c r="L34" s="5" t="n">
        <f aca="false">IF(AND(G34="wire_out",MOD(F34,1000)=0,OR(I34="AE",I34="HK",I34="CY",I34="PA")),1,0)</f>
        <v>0</v>
      </c>
      <c r="M34" s="5" t="n">
        <f aca="false">IF(G34="wire_in",IF(SUMPRODUCT(($B$2:$B$191=B34)*($G$2:$G$191="wire_out")*($D$2:$D$191&gt;=D34)*($D$2:$D$191&lt;=D34+1)*($F$2:$F$191&gt;=F34*0.9)*($F$2:$F$191&lt;=F34))&gt;0,1,0),0)</f>
        <v>0</v>
      </c>
      <c r="N34" s="5" t="n">
        <f aca="false">COUNTIFS($B$2:$B$191,B34,$D$2:$D$191,D34)</f>
        <v>1</v>
      </c>
    </row>
    <row r="35" customFormat="false" ht="15" hidden="false" customHeight="false" outlineLevel="0" collapsed="false">
      <c r="A35" s="5" t="n">
        <v>34</v>
      </c>
      <c r="B35" s="5" t="n">
        <v>1050</v>
      </c>
      <c r="C35" s="5" t="s">
        <v>35</v>
      </c>
      <c r="D35" s="7" t="n">
        <v>46113</v>
      </c>
      <c r="E35" s="5" t="s">
        <v>102</v>
      </c>
      <c r="F35" s="8" t="n">
        <v>644.33</v>
      </c>
      <c r="G35" s="5" t="s">
        <v>71</v>
      </c>
      <c r="H35" s="5" t="s">
        <v>84</v>
      </c>
      <c r="I35" s="5" t="s">
        <v>27</v>
      </c>
      <c r="J35" s="5" t="s">
        <v>66</v>
      </c>
      <c r="K35" s="5" t="n">
        <f aca="false">IF(AND(G35="deposit",J35="branch",F35&gt;=8000,F35&lt;10000),1,0)</f>
        <v>0</v>
      </c>
      <c r="L35" s="5" t="n">
        <f aca="false">IF(AND(G35="wire_out",MOD(F35,1000)=0,OR(I35="AE",I35="HK",I35="CY",I35="PA")),1,0)</f>
        <v>0</v>
      </c>
      <c r="M35" s="5" t="n">
        <f aca="false">IF(G35="wire_in",IF(SUMPRODUCT(($B$2:$B$191=B35)*($G$2:$G$191="wire_out")*($D$2:$D$191&gt;=D35)*($D$2:$D$191&lt;=D35+1)*($F$2:$F$191&gt;=F35*0.9)*($F$2:$F$191&lt;=F35))&gt;0,1,0),0)</f>
        <v>0</v>
      </c>
      <c r="N35" s="5" t="n">
        <f aca="false">COUNTIFS($B$2:$B$191,B35,$D$2:$D$191,D35)</f>
        <v>1</v>
      </c>
    </row>
    <row r="36" customFormat="false" ht="15" hidden="false" customHeight="false" outlineLevel="0" collapsed="false">
      <c r="A36" s="5" t="n">
        <v>35</v>
      </c>
      <c r="B36" s="5" t="n">
        <v>1050</v>
      </c>
      <c r="C36" s="5" t="s">
        <v>35</v>
      </c>
      <c r="D36" s="7" t="n">
        <v>46120</v>
      </c>
      <c r="E36" s="5" t="s">
        <v>102</v>
      </c>
      <c r="F36" s="8" t="n">
        <v>824.44</v>
      </c>
      <c r="G36" s="5" t="s">
        <v>64</v>
      </c>
      <c r="H36" s="5" t="s">
        <v>104</v>
      </c>
      <c r="I36" s="5" t="s">
        <v>27</v>
      </c>
      <c r="J36" s="5" t="s">
        <v>85</v>
      </c>
      <c r="K36" s="5" t="n">
        <f aca="false">IF(AND(G36="deposit",J36="branch",F36&gt;=8000,F36&lt;10000),1,0)</f>
        <v>0</v>
      </c>
      <c r="L36" s="5" t="n">
        <f aca="false">IF(AND(G36="wire_out",MOD(F36,1000)=0,OR(I36="AE",I36="HK",I36="CY",I36="PA")),1,0)</f>
        <v>0</v>
      </c>
      <c r="M36" s="5" t="n">
        <f aca="false">IF(G36="wire_in",IF(SUMPRODUCT(($B$2:$B$191=B36)*($G$2:$G$191="wire_out")*($D$2:$D$191&gt;=D36)*($D$2:$D$191&lt;=D36+1)*($F$2:$F$191&gt;=F36*0.9)*($F$2:$F$191&lt;=F36))&gt;0,1,0),0)</f>
        <v>0</v>
      </c>
      <c r="N36" s="5" t="n">
        <f aca="false">COUNTIFS($B$2:$B$191,B36,$D$2:$D$191,D36)</f>
        <v>1</v>
      </c>
    </row>
    <row r="37" customFormat="false" ht="15" hidden="false" customHeight="false" outlineLevel="0" collapsed="false">
      <c r="A37" s="5" t="n">
        <v>36</v>
      </c>
      <c r="B37" s="5" t="n">
        <v>1050</v>
      </c>
      <c r="C37" s="5" t="s">
        <v>35</v>
      </c>
      <c r="D37" s="7" t="n">
        <v>46131</v>
      </c>
      <c r="E37" s="5" t="s">
        <v>102</v>
      </c>
      <c r="F37" s="8" t="n">
        <v>1033.95</v>
      </c>
      <c r="G37" s="5" t="s">
        <v>64</v>
      </c>
      <c r="H37" s="5" t="s">
        <v>103</v>
      </c>
      <c r="I37" s="5" t="s">
        <v>27</v>
      </c>
      <c r="J37" s="5" t="s">
        <v>73</v>
      </c>
      <c r="K37" s="5" t="n">
        <f aca="false">IF(AND(G37="deposit",J37="branch",F37&gt;=8000,F37&lt;10000),1,0)</f>
        <v>0</v>
      </c>
      <c r="L37" s="5" t="n">
        <f aca="false">IF(AND(G37="wire_out",MOD(F37,1000)=0,OR(I37="AE",I37="HK",I37="CY",I37="PA")),1,0)</f>
        <v>0</v>
      </c>
      <c r="M37" s="5" t="n">
        <f aca="false">IF(G37="wire_in",IF(SUMPRODUCT(($B$2:$B$191=B37)*($G$2:$G$191="wire_out")*($D$2:$D$191&gt;=D37)*($D$2:$D$191&lt;=D37+1)*($F$2:$F$191&gt;=F37*0.9)*($F$2:$F$191&lt;=F37))&gt;0,1,0),0)</f>
        <v>0</v>
      </c>
      <c r="N37" s="5" t="n">
        <f aca="false">COUNTIFS($B$2:$B$191,B37,$D$2:$D$191,D37)</f>
        <v>1</v>
      </c>
    </row>
    <row r="38" customFormat="false" ht="15" hidden="false" customHeight="false" outlineLevel="0" collapsed="false">
      <c r="A38" s="5" t="n">
        <v>37</v>
      </c>
      <c r="B38" s="5" t="n">
        <v>1050</v>
      </c>
      <c r="C38" s="5" t="s">
        <v>35</v>
      </c>
      <c r="D38" s="7" t="n">
        <v>46139</v>
      </c>
      <c r="E38" s="5" t="s">
        <v>102</v>
      </c>
      <c r="F38" s="8" t="n">
        <v>1914.34</v>
      </c>
      <c r="G38" s="5" t="s">
        <v>71</v>
      </c>
      <c r="H38" s="5" t="s">
        <v>103</v>
      </c>
      <c r="I38" s="5" t="s">
        <v>27</v>
      </c>
      <c r="J38" s="5" t="s">
        <v>73</v>
      </c>
      <c r="K38" s="5" t="n">
        <f aca="false">IF(AND(G38="deposit",J38="branch",F38&gt;=8000,F38&lt;10000),1,0)</f>
        <v>0</v>
      </c>
      <c r="L38" s="5" t="n">
        <f aca="false">IF(AND(G38="wire_out",MOD(F38,1000)=0,OR(I38="AE",I38="HK",I38="CY",I38="PA")),1,0)</f>
        <v>0</v>
      </c>
      <c r="M38" s="5" t="n">
        <f aca="false">IF(G38="wire_in",IF(SUMPRODUCT(($B$2:$B$191=B38)*($G$2:$G$191="wire_out")*($D$2:$D$191&gt;=D38)*($D$2:$D$191&lt;=D38+1)*($F$2:$F$191&gt;=F38*0.9)*($F$2:$F$191&lt;=F38))&gt;0,1,0),0)</f>
        <v>0</v>
      </c>
      <c r="N38" s="5" t="n">
        <f aca="false">COUNTIFS($B$2:$B$191,B38,$D$2:$D$191,D38)</f>
        <v>1</v>
      </c>
    </row>
    <row r="39" customFormat="false" ht="15" hidden="false" customHeight="false" outlineLevel="0" collapsed="false">
      <c r="A39" s="5" t="n">
        <v>38</v>
      </c>
      <c r="B39" s="5" t="n">
        <v>1050</v>
      </c>
      <c r="C39" s="5" t="s">
        <v>35</v>
      </c>
      <c r="D39" s="7" t="n">
        <v>46150</v>
      </c>
      <c r="E39" s="5" t="s">
        <v>102</v>
      </c>
      <c r="F39" s="8" t="n">
        <v>1198.98</v>
      </c>
      <c r="G39" s="5" t="s">
        <v>71</v>
      </c>
      <c r="H39" s="5" t="s">
        <v>103</v>
      </c>
      <c r="I39" s="5" t="s">
        <v>27</v>
      </c>
      <c r="J39" s="5" t="s">
        <v>73</v>
      </c>
      <c r="K39" s="5" t="n">
        <f aca="false">IF(AND(G39="deposit",J39="branch",F39&gt;=8000,F39&lt;10000),1,0)</f>
        <v>0</v>
      </c>
      <c r="L39" s="5" t="n">
        <f aca="false">IF(AND(G39="wire_out",MOD(F39,1000)=0,OR(I39="AE",I39="HK",I39="CY",I39="PA")),1,0)</f>
        <v>0</v>
      </c>
      <c r="M39" s="5" t="n">
        <f aca="false">IF(G39="wire_in",IF(SUMPRODUCT(($B$2:$B$191=B39)*($G$2:$G$191="wire_out")*($D$2:$D$191&gt;=D39)*($D$2:$D$191&lt;=D39+1)*($F$2:$F$191&gt;=F39*0.9)*($F$2:$F$191&lt;=F39))&gt;0,1,0),0)</f>
        <v>0</v>
      </c>
      <c r="N39" s="5" t="n">
        <f aca="false">COUNTIFS($B$2:$B$191,B39,$D$2:$D$191,D39)</f>
        <v>1</v>
      </c>
    </row>
    <row r="40" customFormat="false" ht="15" hidden="false" customHeight="false" outlineLevel="0" collapsed="false">
      <c r="A40" s="5" t="n">
        <v>39</v>
      </c>
      <c r="B40" s="5" t="n">
        <v>1050</v>
      </c>
      <c r="C40" s="5" t="s">
        <v>35</v>
      </c>
      <c r="D40" s="7" t="n">
        <v>46173</v>
      </c>
      <c r="E40" s="5" t="s">
        <v>102</v>
      </c>
      <c r="F40" s="8" t="n">
        <v>849.01</v>
      </c>
      <c r="G40" s="5" t="s">
        <v>64</v>
      </c>
      <c r="H40" s="5" t="s">
        <v>103</v>
      </c>
      <c r="I40" s="5" t="s">
        <v>27</v>
      </c>
      <c r="J40" s="5" t="s">
        <v>66</v>
      </c>
      <c r="K40" s="5" t="n">
        <f aca="false">IF(AND(G40="deposit",J40="branch",F40&gt;=8000,F40&lt;10000),1,0)</f>
        <v>0</v>
      </c>
      <c r="L40" s="5" t="n">
        <f aca="false">IF(AND(G40="wire_out",MOD(F40,1000)=0,OR(I40="AE",I40="HK",I40="CY",I40="PA")),1,0)</f>
        <v>0</v>
      </c>
      <c r="M40" s="5" t="n">
        <f aca="false">IF(G40="wire_in",IF(SUMPRODUCT(($B$2:$B$191=B40)*($G$2:$G$191="wire_out")*($D$2:$D$191&gt;=D40)*($D$2:$D$191&lt;=D40+1)*($F$2:$F$191&gt;=F40*0.9)*($F$2:$F$191&lt;=F40))&gt;0,1,0),0)</f>
        <v>0</v>
      </c>
      <c r="N40" s="5" t="n">
        <f aca="false">COUNTIFS($B$2:$B$191,B40,$D$2:$D$191,D40)</f>
        <v>1</v>
      </c>
    </row>
    <row r="41" customFormat="false" ht="15" hidden="false" customHeight="false" outlineLevel="0" collapsed="false">
      <c r="A41" s="5" t="n">
        <v>40</v>
      </c>
      <c r="B41" s="5" t="n">
        <v>1050</v>
      </c>
      <c r="C41" s="5" t="s">
        <v>35</v>
      </c>
      <c r="D41" s="7" t="n">
        <v>46177</v>
      </c>
      <c r="E41" s="5" t="s">
        <v>102</v>
      </c>
      <c r="F41" s="8" t="n">
        <v>808.27</v>
      </c>
      <c r="G41" s="5" t="s">
        <v>64</v>
      </c>
      <c r="H41" s="5" t="s">
        <v>105</v>
      </c>
      <c r="I41" s="5" t="s">
        <v>27</v>
      </c>
      <c r="J41" s="5" t="s">
        <v>66</v>
      </c>
      <c r="K41" s="5" t="n">
        <f aca="false">IF(AND(G41="deposit",J41="branch",F41&gt;=8000,F41&lt;10000),1,0)</f>
        <v>0</v>
      </c>
      <c r="L41" s="5" t="n">
        <f aca="false">IF(AND(G41="wire_out",MOD(F41,1000)=0,OR(I41="AE",I41="HK",I41="CY",I41="PA")),1,0)</f>
        <v>0</v>
      </c>
      <c r="M41" s="5" t="n">
        <f aca="false">IF(G41="wire_in",IF(SUMPRODUCT(($B$2:$B$191=B41)*($G$2:$G$191="wire_out")*($D$2:$D$191&gt;=D41)*($D$2:$D$191&lt;=D41+1)*($F$2:$F$191&gt;=F41*0.9)*($F$2:$F$191&lt;=F41))&gt;0,1,0),0)</f>
        <v>0</v>
      </c>
      <c r="N41" s="5" t="n">
        <f aca="false">COUNTIFS($B$2:$B$191,B41,$D$2:$D$191,D41)</f>
        <v>1</v>
      </c>
    </row>
    <row r="42" customFormat="false" ht="15" hidden="false" customHeight="false" outlineLevel="0" collapsed="false">
      <c r="A42" s="5" t="n">
        <v>41</v>
      </c>
      <c r="B42" s="5" t="n">
        <v>1050</v>
      </c>
      <c r="C42" s="5" t="s">
        <v>35</v>
      </c>
      <c r="D42" s="7" t="n">
        <v>46185</v>
      </c>
      <c r="E42" s="5" t="s">
        <v>102</v>
      </c>
      <c r="F42" s="8" t="n">
        <v>529.99</v>
      </c>
      <c r="G42" s="5" t="s">
        <v>64</v>
      </c>
      <c r="H42" s="5" t="s">
        <v>103</v>
      </c>
      <c r="I42" s="5" t="s">
        <v>27</v>
      </c>
      <c r="J42" s="5" t="s">
        <v>73</v>
      </c>
      <c r="K42" s="5" t="n">
        <f aca="false">IF(AND(G42="deposit",J42="branch",F42&gt;=8000,F42&lt;10000),1,0)</f>
        <v>0</v>
      </c>
      <c r="L42" s="5" t="n">
        <f aca="false">IF(AND(G42="wire_out",MOD(F42,1000)=0,OR(I42="AE",I42="HK",I42="CY",I42="PA")),1,0)</f>
        <v>0</v>
      </c>
      <c r="M42" s="5" t="n">
        <f aca="false">IF(G42="wire_in",IF(SUMPRODUCT(($B$2:$B$191=B42)*($G$2:$G$191="wire_out")*($D$2:$D$191&gt;=D42)*($D$2:$D$191&lt;=D42+1)*($F$2:$F$191&gt;=F42*0.9)*($F$2:$F$191&lt;=F42))&gt;0,1,0),0)</f>
        <v>0</v>
      </c>
      <c r="N42" s="5" t="n">
        <f aca="false">COUNTIFS($B$2:$B$191,B42,$D$2:$D$191,D42)</f>
        <v>1</v>
      </c>
    </row>
    <row r="43" customFormat="false" ht="15" hidden="false" customHeight="false" outlineLevel="0" collapsed="false">
      <c r="A43" s="5" t="n">
        <v>42</v>
      </c>
      <c r="B43" s="5" t="n">
        <v>1050</v>
      </c>
      <c r="C43" s="5" t="s">
        <v>35</v>
      </c>
      <c r="D43" s="7" t="n">
        <v>46203</v>
      </c>
      <c r="E43" s="5" t="s">
        <v>102</v>
      </c>
      <c r="F43" s="8" t="n">
        <v>227.27</v>
      </c>
      <c r="G43" s="5" t="s">
        <v>64</v>
      </c>
      <c r="H43" s="5" t="s">
        <v>104</v>
      </c>
      <c r="I43" s="5" t="s">
        <v>27</v>
      </c>
      <c r="J43" s="5" t="s">
        <v>85</v>
      </c>
      <c r="K43" s="5" t="n">
        <f aca="false">IF(AND(G43="deposit",J43="branch",F43&gt;=8000,F43&lt;10000),1,0)</f>
        <v>0</v>
      </c>
      <c r="L43" s="5" t="n">
        <f aca="false">IF(AND(G43="wire_out",MOD(F43,1000)=0,OR(I43="AE",I43="HK",I43="CY",I43="PA")),1,0)</f>
        <v>0</v>
      </c>
      <c r="M43" s="5" t="n">
        <f aca="false">IF(G43="wire_in",IF(SUMPRODUCT(($B$2:$B$191=B43)*($G$2:$G$191="wire_out")*($D$2:$D$191&gt;=D43)*($D$2:$D$191&lt;=D43+1)*($F$2:$F$191&gt;=F43*0.9)*($F$2:$F$191&lt;=F43))&gt;0,1,0),0)</f>
        <v>0</v>
      </c>
      <c r="N43" s="5" t="n">
        <f aca="false">COUNTIFS($B$2:$B$191,B43,$D$2:$D$191,D43)</f>
        <v>1</v>
      </c>
    </row>
    <row r="44" customFormat="false" ht="15" hidden="false" customHeight="false" outlineLevel="0" collapsed="false">
      <c r="A44" s="5" t="n">
        <v>43</v>
      </c>
      <c r="B44" s="5" t="n">
        <v>1050</v>
      </c>
      <c r="C44" s="5" t="s">
        <v>35</v>
      </c>
      <c r="D44" s="7" t="n">
        <v>46206</v>
      </c>
      <c r="E44" s="5" t="s">
        <v>102</v>
      </c>
      <c r="F44" s="8" t="n">
        <v>1956.66</v>
      </c>
      <c r="G44" s="5" t="s">
        <v>71</v>
      </c>
      <c r="H44" s="5" t="s">
        <v>103</v>
      </c>
      <c r="I44" s="5" t="s">
        <v>27</v>
      </c>
      <c r="J44" s="5" t="s">
        <v>73</v>
      </c>
      <c r="K44" s="5" t="n">
        <f aca="false">IF(AND(G44="deposit",J44="branch",F44&gt;=8000,F44&lt;10000),1,0)</f>
        <v>0</v>
      </c>
      <c r="L44" s="5" t="n">
        <f aca="false">IF(AND(G44="wire_out",MOD(F44,1000)=0,OR(I44="AE",I44="HK",I44="CY",I44="PA")),1,0)</f>
        <v>0</v>
      </c>
      <c r="M44" s="5" t="n">
        <f aca="false">IF(G44="wire_in",IF(SUMPRODUCT(($B$2:$B$191=B44)*($G$2:$G$191="wire_out")*($D$2:$D$191&gt;=D44)*($D$2:$D$191&lt;=D44+1)*($F$2:$F$191&gt;=F44*0.9)*($F$2:$F$191&lt;=F44))&gt;0,1,0),0)</f>
        <v>0</v>
      </c>
      <c r="N44" s="5" t="n">
        <f aca="false">COUNTIFS($B$2:$B$191,B44,$D$2:$D$191,D44)</f>
        <v>1</v>
      </c>
    </row>
    <row r="45" customFormat="false" ht="15" hidden="false" customHeight="false" outlineLevel="0" collapsed="false">
      <c r="A45" s="5" t="n">
        <v>44</v>
      </c>
      <c r="B45" s="5" t="n">
        <v>1050</v>
      </c>
      <c r="C45" s="5" t="s">
        <v>35</v>
      </c>
      <c r="D45" s="7" t="n">
        <v>46241</v>
      </c>
      <c r="E45" s="5" t="s">
        <v>102</v>
      </c>
      <c r="F45" s="8" t="n">
        <v>713.72</v>
      </c>
      <c r="G45" s="5" t="s">
        <v>64</v>
      </c>
      <c r="H45" s="5" t="s">
        <v>105</v>
      </c>
      <c r="I45" s="5" t="s">
        <v>27</v>
      </c>
      <c r="J45" s="5" t="s">
        <v>73</v>
      </c>
      <c r="K45" s="5" t="n">
        <f aca="false">IF(AND(G45="deposit",J45="branch",F45&gt;=8000,F45&lt;10000),1,0)</f>
        <v>0</v>
      </c>
      <c r="L45" s="5" t="n">
        <f aca="false">IF(AND(G45="wire_out",MOD(F45,1000)=0,OR(I45="AE",I45="HK",I45="CY",I45="PA")),1,0)</f>
        <v>0</v>
      </c>
      <c r="M45" s="5" t="n">
        <f aca="false">IF(G45="wire_in",IF(SUMPRODUCT(($B$2:$B$191=B45)*($G$2:$G$191="wire_out")*($D$2:$D$191&gt;=D45)*($D$2:$D$191&lt;=D45+1)*($F$2:$F$191&gt;=F45*0.9)*($F$2:$F$191&lt;=F45))&gt;0,1,0),0)</f>
        <v>0</v>
      </c>
      <c r="N45" s="5" t="n">
        <f aca="false">COUNTIFS($B$2:$B$191,B45,$D$2:$D$191,D45)</f>
        <v>1</v>
      </c>
    </row>
    <row r="46" customFormat="false" ht="15" hidden="false" customHeight="false" outlineLevel="0" collapsed="false">
      <c r="A46" s="5" t="n">
        <v>45</v>
      </c>
      <c r="B46" s="5" t="n">
        <v>1060</v>
      </c>
      <c r="C46" s="5" t="s">
        <v>37</v>
      </c>
      <c r="D46" s="7" t="n">
        <v>46037</v>
      </c>
      <c r="E46" s="5" t="s">
        <v>102</v>
      </c>
      <c r="F46" s="8" t="n">
        <v>737.8</v>
      </c>
      <c r="G46" s="5" t="s">
        <v>64</v>
      </c>
      <c r="H46" s="5" t="s">
        <v>84</v>
      </c>
      <c r="I46" s="5" t="s">
        <v>27</v>
      </c>
      <c r="J46" s="5" t="s">
        <v>66</v>
      </c>
      <c r="K46" s="5" t="n">
        <f aca="false">IF(AND(G46="deposit",J46="branch",F46&gt;=8000,F46&lt;10000),1,0)</f>
        <v>0</v>
      </c>
      <c r="L46" s="5" t="n">
        <f aca="false">IF(AND(G46="wire_out",MOD(F46,1000)=0,OR(I46="AE",I46="HK",I46="CY",I46="PA")),1,0)</f>
        <v>0</v>
      </c>
      <c r="M46" s="5" t="n">
        <f aca="false">IF(G46="wire_in",IF(SUMPRODUCT(($B$2:$B$191=B46)*($G$2:$G$191="wire_out")*($D$2:$D$191&gt;=D46)*($D$2:$D$191&lt;=D46+1)*($F$2:$F$191&gt;=F46*0.9)*($F$2:$F$191&lt;=F46))&gt;0,1,0),0)</f>
        <v>0</v>
      </c>
      <c r="N46" s="5" t="n">
        <f aca="false">COUNTIFS($B$2:$B$191,B46,$D$2:$D$191,D46)</f>
        <v>1</v>
      </c>
    </row>
    <row r="47" customFormat="false" ht="15" hidden="false" customHeight="false" outlineLevel="0" collapsed="false">
      <c r="A47" s="5" t="n">
        <v>46</v>
      </c>
      <c r="B47" s="5" t="n">
        <v>1060</v>
      </c>
      <c r="C47" s="5" t="s">
        <v>37</v>
      </c>
      <c r="D47" s="7" t="n">
        <v>46041</v>
      </c>
      <c r="E47" s="5" t="s">
        <v>102</v>
      </c>
      <c r="F47" s="8" t="n">
        <v>1552.19</v>
      </c>
      <c r="G47" s="5" t="s">
        <v>71</v>
      </c>
      <c r="H47" s="5" t="s">
        <v>105</v>
      </c>
      <c r="I47" s="5" t="s">
        <v>27</v>
      </c>
      <c r="J47" s="5" t="s">
        <v>85</v>
      </c>
      <c r="K47" s="5" t="n">
        <f aca="false">IF(AND(G47="deposit",J47="branch",F47&gt;=8000,F47&lt;10000),1,0)</f>
        <v>0</v>
      </c>
      <c r="L47" s="5" t="n">
        <f aca="false">IF(AND(G47="wire_out",MOD(F47,1000)=0,OR(I47="AE",I47="HK",I47="CY",I47="PA")),1,0)</f>
        <v>0</v>
      </c>
      <c r="M47" s="5" t="n">
        <f aca="false">IF(G47="wire_in",IF(SUMPRODUCT(($B$2:$B$191=B47)*($G$2:$G$191="wire_out")*($D$2:$D$191&gt;=D47)*($D$2:$D$191&lt;=D47+1)*($F$2:$F$191&gt;=F47*0.9)*($F$2:$F$191&lt;=F47))&gt;0,1,0),0)</f>
        <v>0</v>
      </c>
      <c r="N47" s="5" t="n">
        <f aca="false">COUNTIFS($B$2:$B$191,B47,$D$2:$D$191,D47)</f>
        <v>1</v>
      </c>
    </row>
    <row r="48" customFormat="false" ht="15" hidden="false" customHeight="false" outlineLevel="0" collapsed="false">
      <c r="A48" s="5" t="n">
        <v>47</v>
      </c>
      <c r="B48" s="5" t="n">
        <v>1060</v>
      </c>
      <c r="C48" s="5" t="s">
        <v>37</v>
      </c>
      <c r="D48" s="7" t="n">
        <v>46046</v>
      </c>
      <c r="E48" s="5" t="s">
        <v>102</v>
      </c>
      <c r="F48" s="8" t="n">
        <v>2272.23</v>
      </c>
      <c r="G48" s="5" t="s">
        <v>64</v>
      </c>
      <c r="H48" s="5" t="s">
        <v>103</v>
      </c>
      <c r="I48" s="5" t="s">
        <v>27</v>
      </c>
      <c r="J48" s="5" t="s">
        <v>66</v>
      </c>
      <c r="K48" s="5" t="n">
        <f aca="false">IF(AND(G48="deposit",J48="branch",F48&gt;=8000,F48&lt;10000),1,0)</f>
        <v>0</v>
      </c>
      <c r="L48" s="5" t="n">
        <f aca="false">IF(AND(G48="wire_out",MOD(F48,1000)=0,OR(I48="AE",I48="HK",I48="CY",I48="PA")),1,0)</f>
        <v>0</v>
      </c>
      <c r="M48" s="5" t="n">
        <f aca="false">IF(G48="wire_in",IF(SUMPRODUCT(($B$2:$B$191=B48)*($G$2:$G$191="wire_out")*($D$2:$D$191&gt;=D48)*($D$2:$D$191&lt;=D48+1)*($F$2:$F$191&gt;=F48*0.9)*($F$2:$F$191&lt;=F48))&gt;0,1,0),0)</f>
        <v>0</v>
      </c>
      <c r="N48" s="5" t="n">
        <f aca="false">COUNTIFS($B$2:$B$191,B48,$D$2:$D$191,D48)</f>
        <v>1</v>
      </c>
    </row>
    <row r="49" customFormat="false" ht="15" hidden="false" customHeight="false" outlineLevel="0" collapsed="false">
      <c r="A49" s="5" t="n">
        <v>48</v>
      </c>
      <c r="B49" s="5" t="n">
        <v>1060</v>
      </c>
      <c r="C49" s="5" t="s">
        <v>37</v>
      </c>
      <c r="D49" s="7" t="n">
        <v>46063</v>
      </c>
      <c r="E49" s="5" t="s">
        <v>102</v>
      </c>
      <c r="F49" s="8" t="n">
        <v>2380.4</v>
      </c>
      <c r="G49" s="5" t="s">
        <v>71</v>
      </c>
      <c r="H49" s="5" t="s">
        <v>72</v>
      </c>
      <c r="I49" s="5" t="s">
        <v>27</v>
      </c>
      <c r="J49" s="5" t="s">
        <v>85</v>
      </c>
      <c r="K49" s="5" t="n">
        <f aca="false">IF(AND(G49="deposit",J49="branch",F49&gt;=8000,F49&lt;10000),1,0)</f>
        <v>0</v>
      </c>
      <c r="L49" s="5" t="n">
        <f aca="false">IF(AND(G49="wire_out",MOD(F49,1000)=0,OR(I49="AE",I49="HK",I49="CY",I49="PA")),1,0)</f>
        <v>0</v>
      </c>
      <c r="M49" s="5" t="n">
        <f aca="false">IF(G49="wire_in",IF(SUMPRODUCT(($B$2:$B$191=B49)*($G$2:$G$191="wire_out")*($D$2:$D$191&gt;=D49)*($D$2:$D$191&lt;=D49+1)*($F$2:$F$191&gt;=F49*0.9)*($F$2:$F$191&lt;=F49))&gt;0,1,0),0)</f>
        <v>0</v>
      </c>
      <c r="N49" s="5" t="n">
        <f aca="false">COUNTIFS($B$2:$B$191,B49,$D$2:$D$191,D49)</f>
        <v>1</v>
      </c>
    </row>
    <row r="50" customFormat="false" ht="15" hidden="false" customHeight="false" outlineLevel="0" collapsed="false">
      <c r="A50" s="5" t="n">
        <v>49</v>
      </c>
      <c r="B50" s="5" t="n">
        <v>1060</v>
      </c>
      <c r="C50" s="5" t="s">
        <v>37</v>
      </c>
      <c r="D50" s="7" t="n">
        <v>46080</v>
      </c>
      <c r="E50" s="5" t="s">
        <v>102</v>
      </c>
      <c r="F50" s="8" t="n">
        <v>210.8</v>
      </c>
      <c r="G50" s="5" t="s">
        <v>64</v>
      </c>
      <c r="H50" s="5" t="s">
        <v>72</v>
      </c>
      <c r="I50" s="5" t="s">
        <v>27</v>
      </c>
      <c r="J50" s="5" t="s">
        <v>66</v>
      </c>
      <c r="K50" s="5" t="n">
        <f aca="false">IF(AND(G50="deposit",J50="branch",F50&gt;=8000,F50&lt;10000),1,0)</f>
        <v>0</v>
      </c>
      <c r="L50" s="5" t="n">
        <f aca="false">IF(AND(G50="wire_out",MOD(F50,1000)=0,OR(I50="AE",I50="HK",I50="CY",I50="PA")),1,0)</f>
        <v>0</v>
      </c>
      <c r="M50" s="5" t="n">
        <f aca="false">IF(G50="wire_in",IF(SUMPRODUCT(($B$2:$B$191=B50)*($G$2:$G$191="wire_out")*($D$2:$D$191&gt;=D50)*($D$2:$D$191&lt;=D50+1)*($F$2:$F$191&gt;=F50*0.9)*($F$2:$F$191&lt;=F50))&gt;0,1,0),0)</f>
        <v>0</v>
      </c>
      <c r="N50" s="5" t="n">
        <f aca="false">COUNTIFS($B$2:$B$191,B50,$D$2:$D$191,D50)</f>
        <v>1</v>
      </c>
    </row>
    <row r="51" customFormat="false" ht="15" hidden="false" customHeight="false" outlineLevel="0" collapsed="false">
      <c r="A51" s="5" t="n">
        <v>50</v>
      </c>
      <c r="B51" s="5" t="n">
        <v>1060</v>
      </c>
      <c r="C51" s="5" t="s">
        <v>37</v>
      </c>
      <c r="D51" s="7" t="n">
        <v>46081</v>
      </c>
      <c r="E51" s="5" t="s">
        <v>102</v>
      </c>
      <c r="F51" s="8" t="n">
        <v>1773.55</v>
      </c>
      <c r="G51" s="5" t="s">
        <v>64</v>
      </c>
      <c r="H51" s="5" t="s">
        <v>84</v>
      </c>
      <c r="I51" s="5" t="s">
        <v>27</v>
      </c>
      <c r="J51" s="5" t="s">
        <v>66</v>
      </c>
      <c r="K51" s="5" t="n">
        <f aca="false">IF(AND(G51="deposit",J51="branch",F51&gt;=8000,F51&lt;10000),1,0)</f>
        <v>0</v>
      </c>
      <c r="L51" s="5" t="n">
        <f aca="false">IF(AND(G51="wire_out",MOD(F51,1000)=0,OR(I51="AE",I51="HK",I51="CY",I51="PA")),1,0)</f>
        <v>0</v>
      </c>
      <c r="M51" s="5" t="n">
        <f aca="false">IF(G51="wire_in",IF(SUMPRODUCT(($B$2:$B$191=B51)*($G$2:$G$191="wire_out")*($D$2:$D$191&gt;=D51)*($D$2:$D$191&lt;=D51+1)*($F$2:$F$191&gt;=F51*0.9)*($F$2:$F$191&lt;=F51))&gt;0,1,0),0)</f>
        <v>0</v>
      </c>
      <c r="N51" s="5" t="n">
        <f aca="false">COUNTIFS($B$2:$B$191,B51,$D$2:$D$191,D51)</f>
        <v>1</v>
      </c>
    </row>
    <row r="52" customFormat="false" ht="15" hidden="false" customHeight="false" outlineLevel="0" collapsed="false">
      <c r="A52" s="5" t="n">
        <v>51</v>
      </c>
      <c r="B52" s="5" t="n">
        <v>1060</v>
      </c>
      <c r="C52" s="5" t="s">
        <v>37</v>
      </c>
      <c r="D52" s="7" t="n">
        <v>46098</v>
      </c>
      <c r="E52" s="5" t="s">
        <v>102</v>
      </c>
      <c r="F52" s="8" t="n">
        <v>1315.6</v>
      </c>
      <c r="G52" s="5" t="s">
        <v>71</v>
      </c>
      <c r="H52" s="5" t="s">
        <v>84</v>
      </c>
      <c r="I52" s="5" t="s">
        <v>27</v>
      </c>
      <c r="J52" s="5" t="s">
        <v>66</v>
      </c>
      <c r="K52" s="5" t="n">
        <f aca="false">IF(AND(G52="deposit",J52="branch",F52&gt;=8000,F52&lt;10000),1,0)</f>
        <v>0</v>
      </c>
      <c r="L52" s="5" t="n">
        <f aca="false">IF(AND(G52="wire_out",MOD(F52,1000)=0,OR(I52="AE",I52="HK",I52="CY",I52="PA")),1,0)</f>
        <v>0</v>
      </c>
      <c r="M52" s="5" t="n">
        <f aca="false">IF(G52="wire_in",IF(SUMPRODUCT(($B$2:$B$191=B52)*($G$2:$G$191="wire_out")*($D$2:$D$191&gt;=D52)*($D$2:$D$191&lt;=D52+1)*($F$2:$F$191&gt;=F52*0.9)*($F$2:$F$191&lt;=F52))&gt;0,1,0),0)</f>
        <v>0</v>
      </c>
      <c r="N52" s="5" t="n">
        <f aca="false">COUNTIFS($B$2:$B$191,B52,$D$2:$D$191,D52)</f>
        <v>1</v>
      </c>
    </row>
    <row r="53" customFormat="false" ht="15" hidden="false" customHeight="false" outlineLevel="0" collapsed="false">
      <c r="A53" s="5" t="n">
        <v>52</v>
      </c>
      <c r="B53" s="5" t="n">
        <v>1060</v>
      </c>
      <c r="C53" s="5" t="s">
        <v>37</v>
      </c>
      <c r="D53" s="7" t="n">
        <v>46121</v>
      </c>
      <c r="E53" s="5" t="s">
        <v>102</v>
      </c>
      <c r="F53" s="8" t="n">
        <v>1157.23</v>
      </c>
      <c r="G53" s="5" t="s">
        <v>71</v>
      </c>
      <c r="H53" s="5" t="s">
        <v>72</v>
      </c>
      <c r="I53" s="5" t="s">
        <v>27</v>
      </c>
      <c r="J53" s="5" t="s">
        <v>73</v>
      </c>
      <c r="K53" s="5" t="n">
        <f aca="false">IF(AND(G53="deposit",J53="branch",F53&gt;=8000,F53&lt;10000),1,0)</f>
        <v>0</v>
      </c>
      <c r="L53" s="5" t="n">
        <f aca="false">IF(AND(G53="wire_out",MOD(F53,1000)=0,OR(I53="AE",I53="HK",I53="CY",I53="PA")),1,0)</f>
        <v>0</v>
      </c>
      <c r="M53" s="5" t="n">
        <f aca="false">IF(G53="wire_in",IF(SUMPRODUCT(($B$2:$B$191=B53)*($G$2:$G$191="wire_out")*($D$2:$D$191&gt;=D53)*($D$2:$D$191&lt;=D53+1)*($F$2:$F$191&gt;=F53*0.9)*($F$2:$F$191&lt;=F53))&gt;0,1,0),0)</f>
        <v>0</v>
      </c>
      <c r="N53" s="5" t="n">
        <f aca="false">COUNTIFS($B$2:$B$191,B53,$D$2:$D$191,D53)</f>
        <v>1</v>
      </c>
    </row>
    <row r="54" customFormat="false" ht="15" hidden="false" customHeight="false" outlineLevel="0" collapsed="false">
      <c r="A54" s="5" t="n">
        <v>53</v>
      </c>
      <c r="B54" s="5" t="n">
        <v>1060</v>
      </c>
      <c r="C54" s="5" t="s">
        <v>37</v>
      </c>
      <c r="D54" s="7" t="n">
        <v>46125</v>
      </c>
      <c r="E54" s="5" t="s">
        <v>102</v>
      </c>
      <c r="F54" s="8" t="n">
        <v>1098.75</v>
      </c>
      <c r="G54" s="5" t="s">
        <v>64</v>
      </c>
      <c r="H54" s="5" t="s">
        <v>72</v>
      </c>
      <c r="I54" s="5" t="s">
        <v>27</v>
      </c>
      <c r="J54" s="5" t="s">
        <v>73</v>
      </c>
      <c r="K54" s="5" t="n">
        <f aca="false">IF(AND(G54="deposit",J54="branch",F54&gt;=8000,F54&lt;10000),1,0)</f>
        <v>0</v>
      </c>
      <c r="L54" s="5" t="n">
        <f aca="false">IF(AND(G54="wire_out",MOD(F54,1000)=0,OR(I54="AE",I54="HK",I54="CY",I54="PA")),1,0)</f>
        <v>0</v>
      </c>
      <c r="M54" s="5" t="n">
        <f aca="false">IF(G54="wire_in",IF(SUMPRODUCT(($B$2:$B$191=B54)*($G$2:$G$191="wire_out")*($D$2:$D$191&gt;=D54)*($D$2:$D$191&lt;=D54+1)*($F$2:$F$191&gt;=F54*0.9)*($F$2:$F$191&lt;=F54))&gt;0,1,0),0)</f>
        <v>0</v>
      </c>
      <c r="N54" s="5" t="n">
        <f aca="false">COUNTIFS($B$2:$B$191,B54,$D$2:$D$191,D54)</f>
        <v>1</v>
      </c>
    </row>
    <row r="55" customFormat="false" ht="15" hidden="false" customHeight="false" outlineLevel="0" collapsed="false">
      <c r="A55" s="5" t="n">
        <v>54</v>
      </c>
      <c r="B55" s="5" t="n">
        <v>1060</v>
      </c>
      <c r="C55" s="5" t="s">
        <v>37</v>
      </c>
      <c r="D55" s="7" t="n">
        <v>46133</v>
      </c>
      <c r="E55" s="5" t="s">
        <v>102</v>
      </c>
      <c r="F55" s="8" t="n">
        <v>1075.81</v>
      </c>
      <c r="G55" s="5" t="s">
        <v>71</v>
      </c>
      <c r="H55" s="5" t="s">
        <v>105</v>
      </c>
      <c r="I55" s="5" t="s">
        <v>27</v>
      </c>
      <c r="J55" s="5" t="s">
        <v>66</v>
      </c>
      <c r="K55" s="5" t="n">
        <f aca="false">IF(AND(G55="deposit",J55="branch",F55&gt;=8000,F55&lt;10000),1,0)</f>
        <v>0</v>
      </c>
      <c r="L55" s="5" t="n">
        <f aca="false">IF(AND(G55="wire_out",MOD(F55,1000)=0,OR(I55="AE",I55="HK",I55="CY",I55="PA")),1,0)</f>
        <v>0</v>
      </c>
      <c r="M55" s="5" t="n">
        <f aca="false">IF(G55="wire_in",IF(SUMPRODUCT(($B$2:$B$191=B55)*($G$2:$G$191="wire_out")*($D$2:$D$191&gt;=D55)*($D$2:$D$191&lt;=D55+1)*($F$2:$F$191&gt;=F55*0.9)*($F$2:$F$191&lt;=F55))&gt;0,1,0),0)</f>
        <v>0</v>
      </c>
      <c r="N55" s="5" t="n">
        <f aca="false">COUNTIFS($B$2:$B$191,B55,$D$2:$D$191,D55)</f>
        <v>1</v>
      </c>
    </row>
    <row r="56" customFormat="false" ht="15" hidden="false" customHeight="false" outlineLevel="0" collapsed="false">
      <c r="A56" s="5" t="n">
        <v>55</v>
      </c>
      <c r="B56" s="5" t="n">
        <v>1060</v>
      </c>
      <c r="C56" s="5" t="s">
        <v>37</v>
      </c>
      <c r="D56" s="7" t="n">
        <v>46144</v>
      </c>
      <c r="E56" s="5" t="s">
        <v>102</v>
      </c>
      <c r="F56" s="8" t="n">
        <v>2841.61</v>
      </c>
      <c r="G56" s="5" t="s">
        <v>64</v>
      </c>
      <c r="H56" s="5" t="s">
        <v>104</v>
      </c>
      <c r="I56" s="5" t="s">
        <v>27</v>
      </c>
      <c r="J56" s="5" t="s">
        <v>66</v>
      </c>
      <c r="K56" s="5" t="n">
        <f aca="false">IF(AND(G56="deposit",J56="branch",F56&gt;=8000,F56&lt;10000),1,0)</f>
        <v>0</v>
      </c>
      <c r="L56" s="5" t="n">
        <f aca="false">IF(AND(G56="wire_out",MOD(F56,1000)=0,OR(I56="AE",I56="HK",I56="CY",I56="PA")),1,0)</f>
        <v>0</v>
      </c>
      <c r="M56" s="5" t="n">
        <f aca="false">IF(G56="wire_in",IF(SUMPRODUCT(($B$2:$B$191=B56)*($G$2:$G$191="wire_out")*($D$2:$D$191&gt;=D56)*($D$2:$D$191&lt;=D56+1)*($F$2:$F$191&gt;=F56*0.9)*($F$2:$F$191&lt;=F56))&gt;0,1,0),0)</f>
        <v>0</v>
      </c>
      <c r="N56" s="5" t="n">
        <f aca="false">COUNTIFS($B$2:$B$191,B56,$D$2:$D$191,D56)</f>
        <v>1</v>
      </c>
    </row>
    <row r="57" customFormat="false" ht="15" hidden="false" customHeight="false" outlineLevel="0" collapsed="false">
      <c r="A57" s="5" t="n">
        <v>56</v>
      </c>
      <c r="B57" s="5" t="n">
        <v>1060</v>
      </c>
      <c r="C57" s="5" t="s">
        <v>37</v>
      </c>
      <c r="D57" s="7" t="n">
        <v>46147</v>
      </c>
      <c r="E57" s="5" t="s">
        <v>102</v>
      </c>
      <c r="F57" s="8" t="n">
        <v>2451.75</v>
      </c>
      <c r="G57" s="5" t="s">
        <v>64</v>
      </c>
      <c r="H57" s="5" t="s">
        <v>103</v>
      </c>
      <c r="I57" s="5" t="s">
        <v>27</v>
      </c>
      <c r="J57" s="5" t="s">
        <v>66</v>
      </c>
      <c r="K57" s="5" t="n">
        <f aca="false">IF(AND(G57="deposit",J57="branch",F57&gt;=8000,F57&lt;10000),1,0)</f>
        <v>0</v>
      </c>
      <c r="L57" s="5" t="n">
        <f aca="false">IF(AND(G57="wire_out",MOD(F57,1000)=0,OR(I57="AE",I57="HK",I57="CY",I57="PA")),1,0)</f>
        <v>0</v>
      </c>
      <c r="M57" s="5" t="n">
        <f aca="false">IF(G57="wire_in",IF(SUMPRODUCT(($B$2:$B$191=B57)*($G$2:$G$191="wire_out")*($D$2:$D$191&gt;=D57)*($D$2:$D$191&lt;=D57+1)*($F$2:$F$191&gt;=F57*0.9)*($F$2:$F$191&lt;=F57))&gt;0,1,0),0)</f>
        <v>0</v>
      </c>
      <c r="N57" s="5" t="n">
        <f aca="false">COUNTIFS($B$2:$B$191,B57,$D$2:$D$191,D57)</f>
        <v>1</v>
      </c>
    </row>
    <row r="58" customFormat="false" ht="15" hidden="false" customHeight="false" outlineLevel="0" collapsed="false">
      <c r="A58" s="5" t="n">
        <v>57</v>
      </c>
      <c r="B58" s="5" t="n">
        <v>1060</v>
      </c>
      <c r="C58" s="5" t="s">
        <v>37</v>
      </c>
      <c r="D58" s="7" t="n">
        <v>46148</v>
      </c>
      <c r="E58" s="5" t="s">
        <v>102</v>
      </c>
      <c r="F58" s="8" t="n">
        <v>78.04</v>
      </c>
      <c r="G58" s="5" t="s">
        <v>71</v>
      </c>
      <c r="H58" s="5" t="s">
        <v>104</v>
      </c>
      <c r="I58" s="5" t="s">
        <v>27</v>
      </c>
      <c r="J58" s="5" t="s">
        <v>85</v>
      </c>
      <c r="K58" s="5" t="n">
        <f aca="false">IF(AND(G58="deposit",J58="branch",F58&gt;=8000,F58&lt;10000),1,0)</f>
        <v>0</v>
      </c>
      <c r="L58" s="5" t="n">
        <f aca="false">IF(AND(G58="wire_out",MOD(F58,1000)=0,OR(I58="AE",I58="HK",I58="CY",I58="PA")),1,0)</f>
        <v>0</v>
      </c>
      <c r="M58" s="5" t="n">
        <f aca="false">IF(G58="wire_in",IF(SUMPRODUCT(($B$2:$B$191=B58)*($G$2:$G$191="wire_out")*($D$2:$D$191&gt;=D58)*($D$2:$D$191&lt;=D58+1)*($F$2:$F$191&gt;=F58*0.9)*($F$2:$F$191&lt;=F58))&gt;0,1,0),0)</f>
        <v>0</v>
      </c>
      <c r="N58" s="5" t="n">
        <f aca="false">COUNTIFS($B$2:$B$191,B58,$D$2:$D$191,D58)</f>
        <v>1</v>
      </c>
    </row>
    <row r="59" customFormat="false" ht="15" hidden="false" customHeight="false" outlineLevel="0" collapsed="false">
      <c r="A59" s="5" t="n">
        <v>58</v>
      </c>
      <c r="B59" s="5" t="n">
        <v>1060</v>
      </c>
      <c r="C59" s="5" t="s">
        <v>37</v>
      </c>
      <c r="D59" s="7" t="n">
        <v>46161</v>
      </c>
      <c r="E59" s="5" t="s">
        <v>102</v>
      </c>
      <c r="F59" s="8" t="n">
        <v>414.29</v>
      </c>
      <c r="G59" s="5" t="s">
        <v>71</v>
      </c>
      <c r="H59" s="5" t="s">
        <v>103</v>
      </c>
      <c r="I59" s="5" t="s">
        <v>27</v>
      </c>
      <c r="J59" s="5" t="s">
        <v>73</v>
      </c>
      <c r="K59" s="5" t="n">
        <f aca="false">IF(AND(G59="deposit",J59="branch",F59&gt;=8000,F59&lt;10000),1,0)</f>
        <v>0</v>
      </c>
      <c r="L59" s="5" t="n">
        <f aca="false">IF(AND(G59="wire_out",MOD(F59,1000)=0,OR(I59="AE",I59="HK",I59="CY",I59="PA")),1,0)</f>
        <v>0</v>
      </c>
      <c r="M59" s="5" t="n">
        <f aca="false">IF(G59="wire_in",IF(SUMPRODUCT(($B$2:$B$191=B59)*($G$2:$G$191="wire_out")*($D$2:$D$191&gt;=D59)*($D$2:$D$191&lt;=D59+1)*($F$2:$F$191&gt;=F59*0.9)*($F$2:$F$191&lt;=F59))&gt;0,1,0),0)</f>
        <v>0</v>
      </c>
      <c r="N59" s="5" t="n">
        <f aca="false">COUNTIFS($B$2:$B$191,B59,$D$2:$D$191,D59)</f>
        <v>1</v>
      </c>
    </row>
    <row r="60" customFormat="false" ht="15" hidden="false" customHeight="false" outlineLevel="0" collapsed="false">
      <c r="A60" s="5" t="n">
        <v>59</v>
      </c>
      <c r="B60" s="5" t="n">
        <v>1060</v>
      </c>
      <c r="C60" s="5" t="s">
        <v>37</v>
      </c>
      <c r="D60" s="7" t="n">
        <v>46184</v>
      </c>
      <c r="E60" s="5" t="s">
        <v>102</v>
      </c>
      <c r="F60" s="8" t="n">
        <v>195.44</v>
      </c>
      <c r="G60" s="5" t="s">
        <v>64</v>
      </c>
      <c r="H60" s="5" t="s">
        <v>84</v>
      </c>
      <c r="I60" s="5" t="s">
        <v>27</v>
      </c>
      <c r="J60" s="5" t="s">
        <v>73</v>
      </c>
      <c r="K60" s="5" t="n">
        <f aca="false">IF(AND(G60="deposit",J60="branch",F60&gt;=8000,F60&lt;10000),1,0)</f>
        <v>0</v>
      </c>
      <c r="L60" s="5" t="n">
        <f aca="false">IF(AND(G60="wire_out",MOD(F60,1000)=0,OR(I60="AE",I60="HK",I60="CY",I60="PA")),1,0)</f>
        <v>0</v>
      </c>
      <c r="M60" s="5" t="n">
        <f aca="false">IF(G60="wire_in",IF(SUMPRODUCT(($B$2:$B$191=B60)*($G$2:$G$191="wire_out")*($D$2:$D$191&gt;=D60)*($D$2:$D$191&lt;=D60+1)*($F$2:$F$191&gt;=F60*0.9)*($F$2:$F$191&lt;=F60))&gt;0,1,0),0)</f>
        <v>0</v>
      </c>
      <c r="N60" s="5" t="n">
        <f aca="false">COUNTIFS($B$2:$B$191,B60,$D$2:$D$191,D60)</f>
        <v>1</v>
      </c>
    </row>
    <row r="61" customFormat="false" ht="15" hidden="false" customHeight="false" outlineLevel="0" collapsed="false">
      <c r="A61" s="5" t="n">
        <v>60</v>
      </c>
      <c r="B61" s="5" t="n">
        <v>1060</v>
      </c>
      <c r="C61" s="5" t="s">
        <v>37</v>
      </c>
      <c r="D61" s="7" t="n">
        <v>46189</v>
      </c>
      <c r="E61" s="5" t="s">
        <v>102</v>
      </c>
      <c r="F61" s="8" t="n">
        <v>1132.79</v>
      </c>
      <c r="G61" s="5" t="s">
        <v>71</v>
      </c>
      <c r="H61" s="5" t="s">
        <v>84</v>
      </c>
      <c r="I61" s="5" t="s">
        <v>27</v>
      </c>
      <c r="J61" s="5" t="s">
        <v>85</v>
      </c>
      <c r="K61" s="5" t="n">
        <f aca="false">IF(AND(G61="deposit",J61="branch",F61&gt;=8000,F61&lt;10000),1,0)</f>
        <v>0</v>
      </c>
      <c r="L61" s="5" t="n">
        <f aca="false">IF(AND(G61="wire_out",MOD(F61,1000)=0,OR(I61="AE",I61="HK",I61="CY",I61="PA")),1,0)</f>
        <v>0</v>
      </c>
      <c r="M61" s="5" t="n">
        <f aca="false">IF(G61="wire_in",IF(SUMPRODUCT(($B$2:$B$191=B61)*($G$2:$G$191="wire_out")*($D$2:$D$191&gt;=D61)*($D$2:$D$191&lt;=D61+1)*($F$2:$F$191&gt;=F61*0.9)*($F$2:$F$191&lt;=F61))&gt;0,1,0),0)</f>
        <v>0</v>
      </c>
      <c r="N61" s="5" t="n">
        <f aca="false">COUNTIFS($B$2:$B$191,B61,$D$2:$D$191,D61)</f>
        <v>1</v>
      </c>
    </row>
    <row r="62" customFormat="false" ht="15" hidden="false" customHeight="false" outlineLevel="0" collapsed="false">
      <c r="A62" s="5" t="n">
        <v>61</v>
      </c>
      <c r="B62" s="5" t="n">
        <v>1060</v>
      </c>
      <c r="C62" s="5" t="s">
        <v>37</v>
      </c>
      <c r="D62" s="7" t="n">
        <v>46199</v>
      </c>
      <c r="E62" s="5" t="s">
        <v>102</v>
      </c>
      <c r="F62" s="8" t="n">
        <v>619.43</v>
      </c>
      <c r="G62" s="5" t="s">
        <v>71</v>
      </c>
      <c r="H62" s="5" t="s">
        <v>105</v>
      </c>
      <c r="I62" s="5" t="s">
        <v>27</v>
      </c>
      <c r="J62" s="5" t="s">
        <v>66</v>
      </c>
      <c r="K62" s="5" t="n">
        <f aca="false">IF(AND(G62="deposit",J62="branch",F62&gt;=8000,F62&lt;10000),1,0)</f>
        <v>0</v>
      </c>
      <c r="L62" s="5" t="n">
        <f aca="false">IF(AND(G62="wire_out",MOD(F62,1000)=0,OR(I62="AE",I62="HK",I62="CY",I62="PA")),1,0)</f>
        <v>0</v>
      </c>
      <c r="M62" s="5" t="n">
        <f aca="false">IF(G62="wire_in",IF(SUMPRODUCT(($B$2:$B$191=B62)*($G$2:$G$191="wire_out")*($D$2:$D$191&gt;=D62)*($D$2:$D$191&lt;=D62+1)*($F$2:$F$191&gt;=F62*0.9)*($F$2:$F$191&lt;=F62))&gt;0,1,0),0)</f>
        <v>0</v>
      </c>
      <c r="N62" s="5" t="n">
        <f aca="false">COUNTIFS($B$2:$B$191,B62,$D$2:$D$191,D62)</f>
        <v>1</v>
      </c>
    </row>
    <row r="63" customFormat="false" ht="15" hidden="false" customHeight="false" outlineLevel="0" collapsed="false">
      <c r="A63" s="5" t="n">
        <v>62</v>
      </c>
      <c r="B63" s="5" t="n">
        <v>1060</v>
      </c>
      <c r="C63" s="5" t="s">
        <v>37</v>
      </c>
      <c r="D63" s="7" t="n">
        <v>46218</v>
      </c>
      <c r="E63" s="5" t="s">
        <v>102</v>
      </c>
      <c r="F63" s="8" t="n">
        <v>501.42</v>
      </c>
      <c r="G63" s="5" t="s">
        <v>64</v>
      </c>
      <c r="H63" s="5" t="s">
        <v>72</v>
      </c>
      <c r="I63" s="5" t="s">
        <v>27</v>
      </c>
      <c r="J63" s="5" t="s">
        <v>73</v>
      </c>
      <c r="K63" s="5" t="n">
        <f aca="false">IF(AND(G63="deposit",J63="branch",F63&gt;=8000,F63&lt;10000),1,0)</f>
        <v>0</v>
      </c>
      <c r="L63" s="5" t="n">
        <f aca="false">IF(AND(G63="wire_out",MOD(F63,1000)=0,OR(I63="AE",I63="HK",I63="CY",I63="PA")),1,0)</f>
        <v>0</v>
      </c>
      <c r="M63" s="5" t="n">
        <f aca="false">IF(G63="wire_in",IF(SUMPRODUCT(($B$2:$B$191=B63)*($G$2:$G$191="wire_out")*($D$2:$D$191&gt;=D63)*($D$2:$D$191&lt;=D63+1)*($F$2:$F$191&gt;=F63*0.9)*($F$2:$F$191&lt;=F63))&gt;0,1,0),0)</f>
        <v>0</v>
      </c>
      <c r="N63" s="5" t="n">
        <f aca="false">COUNTIFS($B$2:$B$191,B63,$D$2:$D$191,D63)</f>
        <v>1</v>
      </c>
    </row>
    <row r="64" customFormat="false" ht="15" hidden="false" customHeight="false" outlineLevel="0" collapsed="false">
      <c r="A64" s="5" t="n">
        <v>63</v>
      </c>
      <c r="B64" s="5" t="n">
        <v>1060</v>
      </c>
      <c r="C64" s="5" t="s">
        <v>37</v>
      </c>
      <c r="D64" s="7" t="n">
        <v>46229</v>
      </c>
      <c r="E64" s="5" t="s">
        <v>102</v>
      </c>
      <c r="F64" s="8" t="n">
        <v>1233.04</v>
      </c>
      <c r="G64" s="5" t="s">
        <v>64</v>
      </c>
      <c r="H64" s="5" t="s">
        <v>84</v>
      </c>
      <c r="I64" s="5" t="s">
        <v>27</v>
      </c>
      <c r="J64" s="5" t="s">
        <v>66</v>
      </c>
      <c r="K64" s="5" t="n">
        <f aca="false">IF(AND(G64="deposit",J64="branch",F64&gt;=8000,F64&lt;10000),1,0)</f>
        <v>0</v>
      </c>
      <c r="L64" s="5" t="n">
        <f aca="false">IF(AND(G64="wire_out",MOD(F64,1000)=0,OR(I64="AE",I64="HK",I64="CY",I64="PA")),1,0)</f>
        <v>0</v>
      </c>
      <c r="M64" s="5" t="n">
        <f aca="false">IF(G64="wire_in",IF(SUMPRODUCT(($B$2:$B$191=B64)*($G$2:$G$191="wire_out")*($D$2:$D$191&gt;=D64)*($D$2:$D$191&lt;=D64+1)*($F$2:$F$191&gt;=F64*0.9)*($F$2:$F$191&lt;=F64))&gt;0,1,0),0)</f>
        <v>0</v>
      </c>
      <c r="N64" s="5" t="n">
        <f aca="false">COUNTIFS($B$2:$B$191,B64,$D$2:$D$191,D64)</f>
        <v>1</v>
      </c>
    </row>
    <row r="65" customFormat="false" ht="15" hidden="false" customHeight="false" outlineLevel="0" collapsed="false">
      <c r="A65" s="5" t="n">
        <v>64</v>
      </c>
      <c r="B65" s="5" t="n">
        <v>1060</v>
      </c>
      <c r="C65" s="5" t="s">
        <v>37</v>
      </c>
      <c r="D65" s="7" t="n">
        <v>46245</v>
      </c>
      <c r="E65" s="5" t="s">
        <v>102</v>
      </c>
      <c r="F65" s="8" t="n">
        <v>1883.39</v>
      </c>
      <c r="G65" s="5" t="s">
        <v>64</v>
      </c>
      <c r="H65" s="5" t="s">
        <v>103</v>
      </c>
      <c r="I65" s="5" t="s">
        <v>27</v>
      </c>
      <c r="J65" s="5" t="s">
        <v>73</v>
      </c>
      <c r="K65" s="5" t="n">
        <f aca="false">IF(AND(G65="deposit",J65="branch",F65&gt;=8000,F65&lt;10000),1,0)</f>
        <v>0</v>
      </c>
      <c r="L65" s="5" t="n">
        <f aca="false">IF(AND(G65="wire_out",MOD(F65,1000)=0,OR(I65="AE",I65="HK",I65="CY",I65="PA")),1,0)</f>
        <v>0</v>
      </c>
      <c r="M65" s="5" t="n">
        <f aca="false">IF(G65="wire_in",IF(SUMPRODUCT(($B$2:$B$191=B65)*($G$2:$G$191="wire_out")*($D$2:$D$191&gt;=D65)*($D$2:$D$191&lt;=D65+1)*($F$2:$F$191&gt;=F65*0.9)*($F$2:$F$191&lt;=F65))&gt;0,1,0),0)</f>
        <v>0</v>
      </c>
      <c r="N65" s="5" t="n">
        <f aca="false">COUNTIFS($B$2:$B$191,B65,$D$2:$D$191,D65)</f>
        <v>1</v>
      </c>
    </row>
    <row r="66" customFormat="false" ht="15" hidden="false" customHeight="false" outlineLevel="0" collapsed="false">
      <c r="A66" s="5" t="n">
        <v>65</v>
      </c>
      <c r="B66" s="5" t="n">
        <v>1060</v>
      </c>
      <c r="C66" s="5" t="s">
        <v>37</v>
      </c>
      <c r="D66" s="7" t="n">
        <v>46246</v>
      </c>
      <c r="E66" s="5" t="s">
        <v>102</v>
      </c>
      <c r="F66" s="8" t="n">
        <v>1827.65</v>
      </c>
      <c r="G66" s="5" t="s">
        <v>64</v>
      </c>
      <c r="H66" s="5" t="s">
        <v>72</v>
      </c>
      <c r="I66" s="5" t="s">
        <v>27</v>
      </c>
      <c r="J66" s="5" t="s">
        <v>66</v>
      </c>
      <c r="K66" s="5" t="n">
        <f aca="false">IF(AND(G66="deposit",J66="branch",F66&gt;=8000,F66&lt;10000),1,0)</f>
        <v>0</v>
      </c>
      <c r="L66" s="5" t="n">
        <f aca="false">IF(AND(G66="wire_out",MOD(F66,1000)=0,OR(I66="AE",I66="HK",I66="CY",I66="PA")),1,0)</f>
        <v>0</v>
      </c>
      <c r="M66" s="5" t="n">
        <f aca="false">IF(G66="wire_in",IF(SUMPRODUCT(($B$2:$B$191=B66)*($G$2:$G$191="wire_out")*($D$2:$D$191&gt;=D66)*($D$2:$D$191&lt;=D66+1)*($F$2:$F$191&gt;=F66*0.9)*($F$2:$F$191&lt;=F66))&gt;0,1,0),0)</f>
        <v>0</v>
      </c>
      <c r="N66" s="5" t="n">
        <f aca="false">COUNTIFS($B$2:$B$191,B66,$D$2:$D$191,D66)</f>
        <v>1</v>
      </c>
    </row>
    <row r="67" customFormat="false" ht="15" hidden="false" customHeight="false" outlineLevel="0" collapsed="false">
      <c r="A67" s="5" t="n">
        <v>66</v>
      </c>
      <c r="B67" s="5" t="n">
        <v>1060</v>
      </c>
      <c r="C67" s="5" t="s">
        <v>37</v>
      </c>
      <c r="D67" s="7" t="n">
        <v>46247</v>
      </c>
      <c r="E67" s="5" t="s">
        <v>102</v>
      </c>
      <c r="F67" s="8" t="n">
        <v>2164.65</v>
      </c>
      <c r="G67" s="5" t="s">
        <v>64</v>
      </c>
      <c r="H67" s="5" t="s">
        <v>72</v>
      </c>
      <c r="I67" s="5" t="s">
        <v>27</v>
      </c>
      <c r="J67" s="5" t="s">
        <v>85</v>
      </c>
      <c r="K67" s="5" t="n">
        <f aca="false">IF(AND(G67="deposit",J67="branch",F67&gt;=8000,F67&lt;10000),1,0)</f>
        <v>0</v>
      </c>
      <c r="L67" s="5" t="n">
        <f aca="false">IF(AND(G67="wire_out",MOD(F67,1000)=0,OR(I67="AE",I67="HK",I67="CY",I67="PA")),1,0)</f>
        <v>0</v>
      </c>
      <c r="M67" s="5" t="n">
        <f aca="false">IF(G67="wire_in",IF(SUMPRODUCT(($B$2:$B$191=B67)*($G$2:$G$191="wire_out")*($D$2:$D$191&gt;=D67)*($D$2:$D$191&lt;=D67+1)*($F$2:$F$191&gt;=F67*0.9)*($F$2:$F$191&lt;=F67))&gt;0,1,0),0)</f>
        <v>0</v>
      </c>
      <c r="N67" s="5" t="n">
        <f aca="false">COUNTIFS($B$2:$B$191,B67,$D$2:$D$191,D67)</f>
        <v>1</v>
      </c>
    </row>
    <row r="68" customFormat="false" ht="15" hidden="false" customHeight="false" outlineLevel="0" collapsed="false">
      <c r="A68" s="5" t="n">
        <v>67</v>
      </c>
      <c r="B68" s="5" t="n">
        <v>1060</v>
      </c>
      <c r="C68" s="5" t="s">
        <v>37</v>
      </c>
      <c r="D68" s="7" t="n">
        <v>46249</v>
      </c>
      <c r="E68" s="5" t="s">
        <v>102</v>
      </c>
      <c r="F68" s="8" t="n">
        <v>1620.17</v>
      </c>
      <c r="G68" s="5" t="s">
        <v>71</v>
      </c>
      <c r="H68" s="5" t="s">
        <v>104</v>
      </c>
      <c r="I68" s="5" t="s">
        <v>27</v>
      </c>
      <c r="J68" s="5" t="s">
        <v>85</v>
      </c>
      <c r="K68" s="5" t="n">
        <f aca="false">IF(AND(G68="deposit",J68="branch",F68&gt;=8000,F68&lt;10000),1,0)</f>
        <v>0</v>
      </c>
      <c r="L68" s="5" t="n">
        <f aca="false">IF(AND(G68="wire_out",MOD(F68,1000)=0,OR(I68="AE",I68="HK",I68="CY",I68="PA")),1,0)</f>
        <v>0</v>
      </c>
      <c r="M68" s="5" t="n">
        <f aca="false">IF(G68="wire_in",IF(SUMPRODUCT(($B$2:$B$191=B68)*($G$2:$G$191="wire_out")*($D$2:$D$191&gt;=D68)*($D$2:$D$191&lt;=D68+1)*($F$2:$F$191&gt;=F68*0.9)*($F$2:$F$191&lt;=F68))&gt;0,1,0),0)</f>
        <v>0</v>
      </c>
      <c r="N68" s="5" t="n">
        <f aca="false">COUNTIFS($B$2:$B$191,B68,$D$2:$D$191,D68)</f>
        <v>1</v>
      </c>
    </row>
    <row r="69" customFormat="false" ht="15" hidden="false" customHeight="false" outlineLevel="0" collapsed="false">
      <c r="A69" s="5" t="n">
        <v>68</v>
      </c>
      <c r="B69" s="5" t="n">
        <v>1060</v>
      </c>
      <c r="C69" s="5" t="s">
        <v>37</v>
      </c>
      <c r="D69" s="7" t="n">
        <v>46271</v>
      </c>
      <c r="E69" s="5" t="s">
        <v>102</v>
      </c>
      <c r="F69" s="8" t="n">
        <v>1668.61</v>
      </c>
      <c r="G69" s="5" t="s">
        <v>64</v>
      </c>
      <c r="H69" s="5" t="s">
        <v>84</v>
      </c>
      <c r="I69" s="5" t="s">
        <v>27</v>
      </c>
      <c r="J69" s="5" t="s">
        <v>66</v>
      </c>
      <c r="K69" s="5" t="n">
        <f aca="false">IF(AND(G69="deposit",J69="branch",F69&gt;=8000,F69&lt;10000),1,0)</f>
        <v>0</v>
      </c>
      <c r="L69" s="5" t="n">
        <f aca="false">IF(AND(G69="wire_out",MOD(F69,1000)=0,OR(I69="AE",I69="HK",I69="CY",I69="PA")),1,0)</f>
        <v>0</v>
      </c>
      <c r="M69" s="5" t="n">
        <f aca="false">IF(G69="wire_in",IF(SUMPRODUCT(($B$2:$B$191=B69)*($G$2:$G$191="wire_out")*($D$2:$D$191&gt;=D69)*($D$2:$D$191&lt;=D69+1)*($F$2:$F$191&gt;=F69*0.9)*($F$2:$F$191&lt;=F69))&gt;0,1,0),0)</f>
        <v>0</v>
      </c>
      <c r="N69" s="5" t="n">
        <f aca="false">COUNTIFS($B$2:$B$191,B69,$D$2:$D$191,D69)</f>
        <v>1</v>
      </c>
    </row>
    <row r="70" customFormat="false" ht="15" hidden="false" customHeight="false" outlineLevel="0" collapsed="false">
      <c r="A70" s="5" t="n">
        <v>69</v>
      </c>
      <c r="B70" s="5" t="n">
        <v>1070</v>
      </c>
      <c r="C70" s="5" t="s">
        <v>39</v>
      </c>
      <c r="D70" s="7" t="n">
        <v>46043</v>
      </c>
      <c r="E70" s="5" t="s">
        <v>102</v>
      </c>
      <c r="F70" s="8" t="n">
        <v>2557</v>
      </c>
      <c r="G70" s="5" t="s">
        <v>64</v>
      </c>
      <c r="H70" s="5" t="s">
        <v>72</v>
      </c>
      <c r="I70" s="5" t="s">
        <v>27</v>
      </c>
      <c r="J70" s="5" t="s">
        <v>85</v>
      </c>
      <c r="K70" s="5" t="n">
        <f aca="false">IF(AND(G70="deposit",J70="branch",F70&gt;=8000,F70&lt;10000),1,0)</f>
        <v>0</v>
      </c>
      <c r="L70" s="5" t="n">
        <f aca="false">IF(AND(G70="wire_out",MOD(F70,1000)=0,OR(I70="AE",I70="HK",I70="CY",I70="PA")),1,0)</f>
        <v>0</v>
      </c>
      <c r="M70" s="5" t="n">
        <f aca="false">IF(G70="wire_in",IF(SUMPRODUCT(($B$2:$B$191=B70)*($G$2:$G$191="wire_out")*($D$2:$D$191&gt;=D70)*($D$2:$D$191&lt;=D70+1)*($F$2:$F$191&gt;=F70*0.9)*($F$2:$F$191&lt;=F70))&gt;0,1,0),0)</f>
        <v>0</v>
      </c>
      <c r="N70" s="5" t="n">
        <f aca="false">COUNTIFS($B$2:$B$191,B70,$D$2:$D$191,D70)</f>
        <v>1</v>
      </c>
    </row>
    <row r="71" customFormat="false" ht="15" hidden="false" customHeight="false" outlineLevel="0" collapsed="false">
      <c r="A71" s="5" t="n">
        <v>70</v>
      </c>
      <c r="B71" s="5" t="n">
        <v>1070</v>
      </c>
      <c r="C71" s="5" t="s">
        <v>39</v>
      </c>
      <c r="D71" s="7" t="n">
        <v>46048</v>
      </c>
      <c r="E71" s="5" t="s">
        <v>102</v>
      </c>
      <c r="F71" s="8" t="n">
        <v>170.75</v>
      </c>
      <c r="G71" s="5" t="s">
        <v>64</v>
      </c>
      <c r="H71" s="5" t="s">
        <v>84</v>
      </c>
      <c r="I71" s="5" t="s">
        <v>27</v>
      </c>
      <c r="J71" s="5" t="s">
        <v>85</v>
      </c>
      <c r="K71" s="5" t="n">
        <f aca="false">IF(AND(G71="deposit",J71="branch",F71&gt;=8000,F71&lt;10000),1,0)</f>
        <v>0</v>
      </c>
      <c r="L71" s="5" t="n">
        <f aca="false">IF(AND(G71="wire_out",MOD(F71,1000)=0,OR(I71="AE",I71="HK",I71="CY",I71="PA")),1,0)</f>
        <v>0</v>
      </c>
      <c r="M71" s="5" t="n">
        <f aca="false">IF(G71="wire_in",IF(SUMPRODUCT(($B$2:$B$191=B71)*($G$2:$G$191="wire_out")*($D$2:$D$191&gt;=D71)*($D$2:$D$191&lt;=D71+1)*($F$2:$F$191&gt;=F71*0.9)*($F$2:$F$191&lt;=F71))&gt;0,1,0),0)</f>
        <v>0</v>
      </c>
      <c r="N71" s="5" t="n">
        <f aca="false">COUNTIFS($B$2:$B$191,B71,$D$2:$D$191,D71)</f>
        <v>1</v>
      </c>
    </row>
    <row r="72" customFormat="false" ht="15" hidden="false" customHeight="false" outlineLevel="0" collapsed="false">
      <c r="A72" s="5" t="n">
        <v>71</v>
      </c>
      <c r="B72" s="5" t="n">
        <v>1070</v>
      </c>
      <c r="C72" s="5" t="s">
        <v>39</v>
      </c>
      <c r="D72" s="7" t="n">
        <v>46065</v>
      </c>
      <c r="E72" s="5" t="s">
        <v>102</v>
      </c>
      <c r="F72" s="8" t="n">
        <v>1231.11</v>
      </c>
      <c r="G72" s="5" t="s">
        <v>71</v>
      </c>
      <c r="H72" s="5" t="s">
        <v>103</v>
      </c>
      <c r="I72" s="5" t="s">
        <v>27</v>
      </c>
      <c r="J72" s="5" t="s">
        <v>73</v>
      </c>
      <c r="K72" s="5" t="n">
        <f aca="false">IF(AND(G72="deposit",J72="branch",F72&gt;=8000,F72&lt;10000),1,0)</f>
        <v>0</v>
      </c>
      <c r="L72" s="5" t="n">
        <f aca="false">IF(AND(G72="wire_out",MOD(F72,1000)=0,OR(I72="AE",I72="HK",I72="CY",I72="PA")),1,0)</f>
        <v>0</v>
      </c>
      <c r="M72" s="5" t="n">
        <f aca="false">IF(G72="wire_in",IF(SUMPRODUCT(($B$2:$B$191=B72)*($G$2:$G$191="wire_out")*($D$2:$D$191&gt;=D72)*($D$2:$D$191&lt;=D72+1)*($F$2:$F$191&gt;=F72*0.9)*($F$2:$F$191&lt;=F72))&gt;0,1,0),0)</f>
        <v>0</v>
      </c>
      <c r="N72" s="5" t="n">
        <f aca="false">COUNTIFS($B$2:$B$191,B72,$D$2:$D$191,D72)</f>
        <v>1</v>
      </c>
    </row>
    <row r="73" customFormat="false" ht="15" hidden="false" customHeight="false" outlineLevel="0" collapsed="false">
      <c r="A73" s="5" t="n">
        <v>72</v>
      </c>
      <c r="B73" s="5" t="n">
        <v>1070</v>
      </c>
      <c r="C73" s="5" t="s">
        <v>39</v>
      </c>
      <c r="D73" s="7" t="n">
        <v>46071</v>
      </c>
      <c r="E73" s="5" t="s">
        <v>102</v>
      </c>
      <c r="F73" s="8" t="n">
        <v>1618.13</v>
      </c>
      <c r="G73" s="5" t="s">
        <v>64</v>
      </c>
      <c r="H73" s="5" t="s">
        <v>105</v>
      </c>
      <c r="I73" s="5" t="s">
        <v>27</v>
      </c>
      <c r="J73" s="5" t="s">
        <v>85</v>
      </c>
      <c r="K73" s="5" t="n">
        <f aca="false">IF(AND(G73="deposit",J73="branch",F73&gt;=8000,F73&lt;10000),1,0)</f>
        <v>0</v>
      </c>
      <c r="L73" s="5" t="n">
        <f aca="false">IF(AND(G73="wire_out",MOD(F73,1000)=0,OR(I73="AE",I73="HK",I73="CY",I73="PA")),1,0)</f>
        <v>0</v>
      </c>
      <c r="M73" s="5" t="n">
        <f aca="false">IF(G73="wire_in",IF(SUMPRODUCT(($B$2:$B$191=B73)*($G$2:$G$191="wire_out")*($D$2:$D$191&gt;=D73)*($D$2:$D$191&lt;=D73+1)*($F$2:$F$191&gt;=F73*0.9)*($F$2:$F$191&lt;=F73))&gt;0,1,0),0)</f>
        <v>0</v>
      </c>
      <c r="N73" s="5" t="n">
        <f aca="false">COUNTIFS($B$2:$B$191,B73,$D$2:$D$191,D73)</f>
        <v>1</v>
      </c>
    </row>
    <row r="74" customFormat="false" ht="15" hidden="false" customHeight="false" outlineLevel="0" collapsed="false">
      <c r="A74" s="5" t="n">
        <v>73</v>
      </c>
      <c r="B74" s="5" t="n">
        <v>1070</v>
      </c>
      <c r="C74" s="5" t="s">
        <v>39</v>
      </c>
      <c r="D74" s="7" t="n">
        <v>46086</v>
      </c>
      <c r="E74" s="5" t="s">
        <v>102</v>
      </c>
      <c r="F74" s="8" t="n">
        <v>1745.18</v>
      </c>
      <c r="G74" s="5" t="s">
        <v>64</v>
      </c>
      <c r="H74" s="5" t="s">
        <v>72</v>
      </c>
      <c r="I74" s="5" t="s">
        <v>27</v>
      </c>
      <c r="J74" s="5" t="s">
        <v>85</v>
      </c>
      <c r="K74" s="5" t="n">
        <f aca="false">IF(AND(G74="deposit",J74="branch",F74&gt;=8000,F74&lt;10000),1,0)</f>
        <v>0</v>
      </c>
      <c r="L74" s="5" t="n">
        <f aca="false">IF(AND(G74="wire_out",MOD(F74,1000)=0,OR(I74="AE",I74="HK",I74="CY",I74="PA")),1,0)</f>
        <v>0</v>
      </c>
      <c r="M74" s="5" t="n">
        <f aca="false">IF(G74="wire_in",IF(SUMPRODUCT(($B$2:$B$191=B74)*($G$2:$G$191="wire_out")*($D$2:$D$191&gt;=D74)*($D$2:$D$191&lt;=D74+1)*($F$2:$F$191&gt;=F74*0.9)*($F$2:$F$191&lt;=F74))&gt;0,1,0),0)</f>
        <v>0</v>
      </c>
      <c r="N74" s="5" t="n">
        <f aca="false">COUNTIFS($B$2:$B$191,B74,$D$2:$D$191,D74)</f>
        <v>1</v>
      </c>
    </row>
    <row r="75" customFormat="false" ht="15" hidden="false" customHeight="false" outlineLevel="0" collapsed="false">
      <c r="A75" s="5" t="n">
        <v>74</v>
      </c>
      <c r="B75" s="5" t="n">
        <v>1070</v>
      </c>
      <c r="C75" s="5" t="s">
        <v>39</v>
      </c>
      <c r="D75" s="7" t="n">
        <v>46090</v>
      </c>
      <c r="E75" s="5" t="s">
        <v>102</v>
      </c>
      <c r="F75" s="8" t="n">
        <v>2781.02</v>
      </c>
      <c r="G75" s="5" t="s">
        <v>71</v>
      </c>
      <c r="H75" s="5" t="s">
        <v>104</v>
      </c>
      <c r="I75" s="5" t="s">
        <v>27</v>
      </c>
      <c r="J75" s="5" t="s">
        <v>73</v>
      </c>
      <c r="K75" s="5" t="n">
        <f aca="false">IF(AND(G75="deposit",J75="branch",F75&gt;=8000,F75&lt;10000),1,0)</f>
        <v>0</v>
      </c>
      <c r="L75" s="5" t="n">
        <f aca="false">IF(AND(G75="wire_out",MOD(F75,1000)=0,OR(I75="AE",I75="HK",I75="CY",I75="PA")),1,0)</f>
        <v>0</v>
      </c>
      <c r="M75" s="5" t="n">
        <f aca="false">IF(G75="wire_in",IF(SUMPRODUCT(($B$2:$B$191=B75)*($G$2:$G$191="wire_out")*($D$2:$D$191&gt;=D75)*($D$2:$D$191&lt;=D75+1)*($F$2:$F$191&gt;=F75*0.9)*($F$2:$F$191&lt;=F75))&gt;0,1,0),0)</f>
        <v>0</v>
      </c>
      <c r="N75" s="5" t="n">
        <f aca="false">COUNTIFS($B$2:$B$191,B75,$D$2:$D$191,D75)</f>
        <v>1</v>
      </c>
    </row>
    <row r="76" customFormat="false" ht="15" hidden="false" customHeight="false" outlineLevel="0" collapsed="false">
      <c r="A76" s="5" t="n">
        <v>75</v>
      </c>
      <c r="B76" s="5" t="n">
        <v>1070</v>
      </c>
      <c r="C76" s="5" t="s">
        <v>39</v>
      </c>
      <c r="D76" s="7" t="n">
        <v>46094</v>
      </c>
      <c r="E76" s="5" t="s">
        <v>102</v>
      </c>
      <c r="F76" s="8" t="n">
        <v>1398.63</v>
      </c>
      <c r="G76" s="5" t="s">
        <v>64</v>
      </c>
      <c r="H76" s="5" t="s">
        <v>105</v>
      </c>
      <c r="I76" s="5" t="s">
        <v>27</v>
      </c>
      <c r="J76" s="5" t="s">
        <v>66</v>
      </c>
      <c r="K76" s="5" t="n">
        <f aca="false">IF(AND(G76="deposit",J76="branch",F76&gt;=8000,F76&lt;10000),1,0)</f>
        <v>0</v>
      </c>
      <c r="L76" s="5" t="n">
        <f aca="false">IF(AND(G76="wire_out",MOD(F76,1000)=0,OR(I76="AE",I76="HK",I76="CY",I76="PA")),1,0)</f>
        <v>0</v>
      </c>
      <c r="M76" s="5" t="n">
        <f aca="false">IF(G76="wire_in",IF(SUMPRODUCT(($B$2:$B$191=B76)*($G$2:$G$191="wire_out")*($D$2:$D$191&gt;=D76)*($D$2:$D$191&lt;=D76+1)*($F$2:$F$191&gt;=F76*0.9)*($F$2:$F$191&lt;=F76))&gt;0,1,0),0)</f>
        <v>0</v>
      </c>
      <c r="N76" s="5" t="n">
        <f aca="false">COUNTIFS($B$2:$B$191,B76,$D$2:$D$191,D76)</f>
        <v>1</v>
      </c>
    </row>
    <row r="77" customFormat="false" ht="15" hidden="false" customHeight="false" outlineLevel="0" collapsed="false">
      <c r="A77" s="5" t="n">
        <v>76</v>
      </c>
      <c r="B77" s="5" t="n">
        <v>1070</v>
      </c>
      <c r="C77" s="5" t="s">
        <v>39</v>
      </c>
      <c r="D77" s="7" t="n">
        <v>46098</v>
      </c>
      <c r="E77" s="5" t="s">
        <v>102</v>
      </c>
      <c r="F77" s="8" t="n">
        <v>668.75</v>
      </c>
      <c r="G77" s="5" t="s">
        <v>64</v>
      </c>
      <c r="H77" s="5" t="s">
        <v>72</v>
      </c>
      <c r="I77" s="5" t="s">
        <v>27</v>
      </c>
      <c r="J77" s="5" t="s">
        <v>66</v>
      </c>
      <c r="K77" s="5" t="n">
        <f aca="false">IF(AND(G77="deposit",J77="branch",F77&gt;=8000,F77&lt;10000),1,0)</f>
        <v>0</v>
      </c>
      <c r="L77" s="5" t="n">
        <f aca="false">IF(AND(G77="wire_out",MOD(F77,1000)=0,OR(I77="AE",I77="HK",I77="CY",I77="PA")),1,0)</f>
        <v>0</v>
      </c>
      <c r="M77" s="5" t="n">
        <f aca="false">IF(G77="wire_in",IF(SUMPRODUCT(($B$2:$B$191=B77)*($G$2:$G$191="wire_out")*($D$2:$D$191&gt;=D77)*($D$2:$D$191&lt;=D77+1)*($F$2:$F$191&gt;=F77*0.9)*($F$2:$F$191&lt;=F77))&gt;0,1,0),0)</f>
        <v>0</v>
      </c>
      <c r="N77" s="5" t="n">
        <f aca="false">COUNTIFS($B$2:$B$191,B77,$D$2:$D$191,D77)</f>
        <v>1</v>
      </c>
    </row>
    <row r="78" customFormat="false" ht="15" hidden="false" customHeight="false" outlineLevel="0" collapsed="false">
      <c r="A78" s="5" t="n">
        <v>77</v>
      </c>
      <c r="B78" s="5" t="n">
        <v>1070</v>
      </c>
      <c r="C78" s="5" t="s">
        <v>39</v>
      </c>
      <c r="D78" s="7" t="n">
        <v>46161</v>
      </c>
      <c r="E78" s="5" t="s">
        <v>102</v>
      </c>
      <c r="F78" s="8" t="n">
        <v>201.65</v>
      </c>
      <c r="G78" s="5" t="s">
        <v>71</v>
      </c>
      <c r="H78" s="5" t="s">
        <v>84</v>
      </c>
      <c r="I78" s="5" t="s">
        <v>27</v>
      </c>
      <c r="J78" s="5" t="s">
        <v>85</v>
      </c>
      <c r="K78" s="5" t="n">
        <f aca="false">IF(AND(G78="deposit",J78="branch",F78&gt;=8000,F78&lt;10000),1,0)</f>
        <v>0</v>
      </c>
      <c r="L78" s="5" t="n">
        <f aca="false">IF(AND(G78="wire_out",MOD(F78,1000)=0,OR(I78="AE",I78="HK",I78="CY",I78="PA")),1,0)</f>
        <v>0</v>
      </c>
      <c r="M78" s="5" t="n">
        <f aca="false">IF(G78="wire_in",IF(SUMPRODUCT(($B$2:$B$191=B78)*($G$2:$G$191="wire_out")*($D$2:$D$191&gt;=D78)*($D$2:$D$191&lt;=D78+1)*($F$2:$F$191&gt;=F78*0.9)*($F$2:$F$191&lt;=F78))&gt;0,1,0),0)</f>
        <v>0</v>
      </c>
      <c r="N78" s="5" t="n">
        <f aca="false">COUNTIFS($B$2:$B$191,B78,$D$2:$D$191,D78)</f>
        <v>1</v>
      </c>
    </row>
    <row r="79" customFormat="false" ht="15" hidden="false" customHeight="false" outlineLevel="0" collapsed="false">
      <c r="A79" s="5" t="n">
        <v>78</v>
      </c>
      <c r="B79" s="5" t="n">
        <v>1070</v>
      </c>
      <c r="C79" s="5" t="s">
        <v>39</v>
      </c>
      <c r="D79" s="7" t="n">
        <v>46172</v>
      </c>
      <c r="E79" s="5" t="s">
        <v>102</v>
      </c>
      <c r="F79" s="8" t="n">
        <v>1440.83</v>
      </c>
      <c r="G79" s="5" t="s">
        <v>64</v>
      </c>
      <c r="H79" s="5" t="s">
        <v>84</v>
      </c>
      <c r="I79" s="5" t="s">
        <v>27</v>
      </c>
      <c r="J79" s="5" t="s">
        <v>66</v>
      </c>
      <c r="K79" s="5" t="n">
        <f aca="false">IF(AND(G79="deposit",J79="branch",F79&gt;=8000,F79&lt;10000),1,0)</f>
        <v>0</v>
      </c>
      <c r="L79" s="5" t="n">
        <f aca="false">IF(AND(G79="wire_out",MOD(F79,1000)=0,OR(I79="AE",I79="HK",I79="CY",I79="PA")),1,0)</f>
        <v>0</v>
      </c>
      <c r="M79" s="5" t="n">
        <f aca="false">IF(G79="wire_in",IF(SUMPRODUCT(($B$2:$B$191=B79)*($G$2:$G$191="wire_out")*($D$2:$D$191&gt;=D79)*($D$2:$D$191&lt;=D79+1)*($F$2:$F$191&gt;=F79*0.9)*($F$2:$F$191&lt;=F79))&gt;0,1,0),0)</f>
        <v>0</v>
      </c>
      <c r="N79" s="5" t="n">
        <f aca="false">COUNTIFS($B$2:$B$191,B79,$D$2:$D$191,D79)</f>
        <v>1</v>
      </c>
    </row>
    <row r="80" customFormat="false" ht="15" hidden="false" customHeight="false" outlineLevel="0" collapsed="false">
      <c r="A80" s="5" t="n">
        <v>79</v>
      </c>
      <c r="B80" s="5" t="n">
        <v>1070</v>
      </c>
      <c r="C80" s="5" t="s">
        <v>39</v>
      </c>
      <c r="D80" s="7" t="n">
        <v>46195</v>
      </c>
      <c r="E80" s="5" t="s">
        <v>102</v>
      </c>
      <c r="F80" s="8" t="n">
        <v>1967.3</v>
      </c>
      <c r="G80" s="5" t="s">
        <v>64</v>
      </c>
      <c r="H80" s="5" t="s">
        <v>84</v>
      </c>
      <c r="I80" s="5" t="s">
        <v>27</v>
      </c>
      <c r="J80" s="5" t="s">
        <v>73</v>
      </c>
      <c r="K80" s="5" t="n">
        <f aca="false">IF(AND(G80="deposit",J80="branch",F80&gt;=8000,F80&lt;10000),1,0)</f>
        <v>0</v>
      </c>
      <c r="L80" s="5" t="n">
        <f aca="false">IF(AND(G80="wire_out",MOD(F80,1000)=0,OR(I80="AE",I80="HK",I80="CY",I80="PA")),1,0)</f>
        <v>0</v>
      </c>
      <c r="M80" s="5" t="n">
        <f aca="false">IF(G80="wire_in",IF(SUMPRODUCT(($B$2:$B$191=B80)*($G$2:$G$191="wire_out")*($D$2:$D$191&gt;=D80)*($D$2:$D$191&lt;=D80+1)*($F$2:$F$191&gt;=F80*0.9)*($F$2:$F$191&lt;=F80))&gt;0,1,0),0)</f>
        <v>0</v>
      </c>
      <c r="N80" s="5" t="n">
        <f aca="false">COUNTIFS($B$2:$B$191,B80,$D$2:$D$191,D80)</f>
        <v>2</v>
      </c>
    </row>
    <row r="81" customFormat="false" ht="15" hidden="false" customHeight="false" outlineLevel="0" collapsed="false">
      <c r="A81" s="5" t="n">
        <v>80</v>
      </c>
      <c r="B81" s="5" t="n">
        <v>1070</v>
      </c>
      <c r="C81" s="5" t="s">
        <v>39</v>
      </c>
      <c r="D81" s="7" t="n">
        <v>46195</v>
      </c>
      <c r="E81" s="5" t="s">
        <v>102</v>
      </c>
      <c r="F81" s="8" t="n">
        <v>2588.22</v>
      </c>
      <c r="G81" s="5" t="s">
        <v>71</v>
      </c>
      <c r="H81" s="5" t="s">
        <v>84</v>
      </c>
      <c r="I81" s="5" t="s">
        <v>27</v>
      </c>
      <c r="J81" s="5" t="s">
        <v>66</v>
      </c>
      <c r="K81" s="5" t="n">
        <f aca="false">IF(AND(G81="deposit",J81="branch",F81&gt;=8000,F81&lt;10000),1,0)</f>
        <v>0</v>
      </c>
      <c r="L81" s="5" t="n">
        <f aca="false">IF(AND(G81="wire_out",MOD(F81,1000)=0,OR(I81="AE",I81="HK",I81="CY",I81="PA")),1,0)</f>
        <v>0</v>
      </c>
      <c r="M81" s="5" t="n">
        <f aca="false">IF(G81="wire_in",IF(SUMPRODUCT(($B$2:$B$191=B81)*($G$2:$G$191="wire_out")*($D$2:$D$191&gt;=D81)*($D$2:$D$191&lt;=D81+1)*($F$2:$F$191&gt;=F81*0.9)*($F$2:$F$191&lt;=F81))&gt;0,1,0),0)</f>
        <v>0</v>
      </c>
      <c r="N81" s="5" t="n">
        <f aca="false">COUNTIFS($B$2:$B$191,B81,$D$2:$D$191,D81)</f>
        <v>2</v>
      </c>
    </row>
    <row r="82" customFormat="false" ht="15" hidden="false" customHeight="false" outlineLevel="0" collapsed="false">
      <c r="A82" s="5" t="n">
        <v>81</v>
      </c>
      <c r="B82" s="5" t="n">
        <v>1070</v>
      </c>
      <c r="C82" s="5" t="s">
        <v>39</v>
      </c>
      <c r="D82" s="7" t="n">
        <v>46201</v>
      </c>
      <c r="E82" s="5" t="s">
        <v>102</v>
      </c>
      <c r="F82" s="8" t="n">
        <v>2872.81</v>
      </c>
      <c r="G82" s="5" t="s">
        <v>71</v>
      </c>
      <c r="H82" s="5" t="s">
        <v>103</v>
      </c>
      <c r="I82" s="5" t="s">
        <v>27</v>
      </c>
      <c r="J82" s="5" t="s">
        <v>85</v>
      </c>
      <c r="K82" s="5" t="n">
        <f aca="false">IF(AND(G82="deposit",J82="branch",F82&gt;=8000,F82&lt;10000),1,0)</f>
        <v>0</v>
      </c>
      <c r="L82" s="5" t="n">
        <f aca="false">IF(AND(G82="wire_out",MOD(F82,1000)=0,OR(I82="AE",I82="HK",I82="CY",I82="PA")),1,0)</f>
        <v>0</v>
      </c>
      <c r="M82" s="5" t="n">
        <f aca="false">IF(G82="wire_in",IF(SUMPRODUCT(($B$2:$B$191=B82)*($G$2:$G$191="wire_out")*($D$2:$D$191&gt;=D82)*($D$2:$D$191&lt;=D82+1)*($F$2:$F$191&gt;=F82*0.9)*($F$2:$F$191&lt;=F82))&gt;0,1,0),0)</f>
        <v>0</v>
      </c>
      <c r="N82" s="5" t="n">
        <f aca="false">COUNTIFS($B$2:$B$191,B82,$D$2:$D$191,D82)</f>
        <v>1</v>
      </c>
    </row>
    <row r="83" customFormat="false" ht="15" hidden="false" customHeight="false" outlineLevel="0" collapsed="false">
      <c r="A83" s="5" t="n">
        <v>82</v>
      </c>
      <c r="B83" s="5" t="n">
        <v>1070</v>
      </c>
      <c r="C83" s="5" t="s">
        <v>39</v>
      </c>
      <c r="D83" s="7" t="n">
        <v>46209</v>
      </c>
      <c r="E83" s="5" t="s">
        <v>102</v>
      </c>
      <c r="F83" s="8" t="n">
        <v>1031.12</v>
      </c>
      <c r="G83" s="5" t="s">
        <v>64</v>
      </c>
      <c r="H83" s="5" t="s">
        <v>103</v>
      </c>
      <c r="I83" s="5" t="s">
        <v>27</v>
      </c>
      <c r="J83" s="5" t="s">
        <v>85</v>
      </c>
      <c r="K83" s="5" t="n">
        <f aca="false">IF(AND(G83="deposit",J83="branch",F83&gt;=8000,F83&lt;10000),1,0)</f>
        <v>0</v>
      </c>
      <c r="L83" s="5" t="n">
        <f aca="false">IF(AND(G83="wire_out",MOD(F83,1000)=0,OR(I83="AE",I83="HK",I83="CY",I83="PA")),1,0)</f>
        <v>0</v>
      </c>
      <c r="M83" s="5" t="n">
        <f aca="false">IF(G83="wire_in",IF(SUMPRODUCT(($B$2:$B$191=B83)*($G$2:$G$191="wire_out")*($D$2:$D$191&gt;=D83)*($D$2:$D$191&lt;=D83+1)*($F$2:$F$191&gt;=F83*0.9)*($F$2:$F$191&lt;=F83))&gt;0,1,0),0)</f>
        <v>0</v>
      </c>
      <c r="N83" s="5" t="n">
        <f aca="false">COUNTIFS($B$2:$B$191,B83,$D$2:$D$191,D83)</f>
        <v>1</v>
      </c>
    </row>
    <row r="84" customFormat="false" ht="15" hidden="false" customHeight="false" outlineLevel="0" collapsed="false">
      <c r="A84" s="5" t="n">
        <v>83</v>
      </c>
      <c r="B84" s="5" t="n">
        <v>1070</v>
      </c>
      <c r="C84" s="5" t="s">
        <v>39</v>
      </c>
      <c r="D84" s="7" t="n">
        <v>46254</v>
      </c>
      <c r="E84" s="5" t="s">
        <v>102</v>
      </c>
      <c r="F84" s="8" t="n">
        <v>194.73</v>
      </c>
      <c r="G84" s="5" t="s">
        <v>71</v>
      </c>
      <c r="H84" s="5" t="s">
        <v>84</v>
      </c>
      <c r="I84" s="5" t="s">
        <v>27</v>
      </c>
      <c r="J84" s="5" t="s">
        <v>73</v>
      </c>
      <c r="K84" s="5" t="n">
        <f aca="false">IF(AND(G84="deposit",J84="branch",F84&gt;=8000,F84&lt;10000),1,0)</f>
        <v>0</v>
      </c>
      <c r="L84" s="5" t="n">
        <f aca="false">IF(AND(G84="wire_out",MOD(F84,1000)=0,OR(I84="AE",I84="HK",I84="CY",I84="PA")),1,0)</f>
        <v>0</v>
      </c>
      <c r="M84" s="5" t="n">
        <f aca="false">IF(G84="wire_in",IF(SUMPRODUCT(($B$2:$B$191=B84)*($G$2:$G$191="wire_out")*($D$2:$D$191&gt;=D84)*($D$2:$D$191&lt;=D84+1)*($F$2:$F$191&gt;=F84*0.9)*($F$2:$F$191&lt;=F84))&gt;0,1,0),0)</f>
        <v>0</v>
      </c>
      <c r="N84" s="5" t="n">
        <f aca="false">COUNTIFS($B$2:$B$191,B84,$D$2:$D$191,D84)</f>
        <v>1</v>
      </c>
    </row>
    <row r="85" customFormat="false" ht="15" hidden="false" customHeight="false" outlineLevel="0" collapsed="false">
      <c r="A85" s="5" t="n">
        <v>84</v>
      </c>
      <c r="B85" s="5" t="n">
        <v>1080</v>
      </c>
      <c r="C85" s="5" t="s">
        <v>41</v>
      </c>
      <c r="D85" s="7" t="n">
        <v>46033</v>
      </c>
      <c r="E85" s="5" t="s">
        <v>102</v>
      </c>
      <c r="F85" s="8" t="n">
        <v>938.61</v>
      </c>
      <c r="G85" s="5" t="s">
        <v>64</v>
      </c>
      <c r="H85" s="5" t="s">
        <v>104</v>
      </c>
      <c r="I85" s="5" t="s">
        <v>27</v>
      </c>
      <c r="J85" s="5" t="s">
        <v>85</v>
      </c>
      <c r="K85" s="5" t="n">
        <f aca="false">IF(AND(G85="deposit",J85="branch",F85&gt;=8000,F85&lt;10000),1,0)</f>
        <v>0</v>
      </c>
      <c r="L85" s="5" t="n">
        <f aca="false">IF(AND(G85="wire_out",MOD(F85,1000)=0,OR(I85="AE",I85="HK",I85="CY",I85="PA")),1,0)</f>
        <v>0</v>
      </c>
      <c r="M85" s="5" t="n">
        <f aca="false">IF(G85="wire_in",IF(SUMPRODUCT(($B$2:$B$191=B85)*($G$2:$G$191="wire_out")*($D$2:$D$191&gt;=D85)*($D$2:$D$191&lt;=D85+1)*($F$2:$F$191&gt;=F85*0.9)*($F$2:$F$191&lt;=F85))&gt;0,1,0),0)</f>
        <v>0</v>
      </c>
      <c r="N85" s="5" t="n">
        <f aca="false">COUNTIFS($B$2:$B$191,B85,$D$2:$D$191,D85)</f>
        <v>1</v>
      </c>
    </row>
    <row r="86" customFormat="false" ht="15" hidden="false" customHeight="false" outlineLevel="0" collapsed="false">
      <c r="A86" s="5" t="n">
        <v>85</v>
      </c>
      <c r="B86" s="5" t="n">
        <v>1080</v>
      </c>
      <c r="C86" s="5" t="s">
        <v>41</v>
      </c>
      <c r="D86" s="7" t="n">
        <v>46051</v>
      </c>
      <c r="E86" s="5" t="s">
        <v>102</v>
      </c>
      <c r="F86" s="8" t="n">
        <v>244.23</v>
      </c>
      <c r="G86" s="5" t="s">
        <v>64</v>
      </c>
      <c r="H86" s="5" t="s">
        <v>72</v>
      </c>
      <c r="I86" s="5" t="s">
        <v>27</v>
      </c>
      <c r="J86" s="5" t="s">
        <v>85</v>
      </c>
      <c r="K86" s="5" t="n">
        <f aca="false">IF(AND(G86="deposit",J86="branch",F86&gt;=8000,F86&lt;10000),1,0)</f>
        <v>0</v>
      </c>
      <c r="L86" s="5" t="n">
        <f aca="false">IF(AND(G86="wire_out",MOD(F86,1000)=0,OR(I86="AE",I86="HK",I86="CY",I86="PA")),1,0)</f>
        <v>0</v>
      </c>
      <c r="M86" s="5" t="n">
        <f aca="false">IF(G86="wire_in",IF(SUMPRODUCT(($B$2:$B$191=B86)*($G$2:$G$191="wire_out")*($D$2:$D$191&gt;=D86)*($D$2:$D$191&lt;=D86+1)*($F$2:$F$191&gt;=F86*0.9)*($F$2:$F$191&lt;=F86))&gt;0,1,0),0)</f>
        <v>0</v>
      </c>
      <c r="N86" s="5" t="n">
        <f aca="false">COUNTIFS($B$2:$B$191,B86,$D$2:$D$191,D86)</f>
        <v>1</v>
      </c>
    </row>
    <row r="87" customFormat="false" ht="15" hidden="false" customHeight="false" outlineLevel="0" collapsed="false">
      <c r="A87" s="5" t="n">
        <v>86</v>
      </c>
      <c r="B87" s="5" t="n">
        <v>1080</v>
      </c>
      <c r="C87" s="5" t="s">
        <v>41</v>
      </c>
      <c r="D87" s="7" t="n">
        <v>46056</v>
      </c>
      <c r="E87" s="5" t="s">
        <v>102</v>
      </c>
      <c r="F87" s="8" t="n">
        <v>2021.64</v>
      </c>
      <c r="G87" s="5" t="s">
        <v>71</v>
      </c>
      <c r="H87" s="5" t="s">
        <v>105</v>
      </c>
      <c r="I87" s="5" t="s">
        <v>27</v>
      </c>
      <c r="J87" s="5" t="s">
        <v>73</v>
      </c>
      <c r="K87" s="5" t="n">
        <f aca="false">IF(AND(G87="deposit",J87="branch",F87&gt;=8000,F87&lt;10000),1,0)</f>
        <v>0</v>
      </c>
      <c r="L87" s="5" t="n">
        <f aca="false">IF(AND(G87="wire_out",MOD(F87,1000)=0,OR(I87="AE",I87="HK",I87="CY",I87="PA")),1,0)</f>
        <v>0</v>
      </c>
      <c r="M87" s="5" t="n">
        <f aca="false">IF(G87="wire_in",IF(SUMPRODUCT(($B$2:$B$191=B87)*($G$2:$G$191="wire_out")*($D$2:$D$191&gt;=D87)*($D$2:$D$191&lt;=D87+1)*($F$2:$F$191&gt;=F87*0.9)*($F$2:$F$191&lt;=F87))&gt;0,1,0),0)</f>
        <v>0</v>
      </c>
      <c r="N87" s="5" t="n">
        <f aca="false">COUNTIFS($B$2:$B$191,B87,$D$2:$D$191,D87)</f>
        <v>1</v>
      </c>
    </row>
    <row r="88" customFormat="false" ht="15" hidden="false" customHeight="false" outlineLevel="0" collapsed="false">
      <c r="A88" s="5" t="n">
        <v>87</v>
      </c>
      <c r="B88" s="5" t="n">
        <v>1080</v>
      </c>
      <c r="C88" s="5" t="s">
        <v>41</v>
      </c>
      <c r="D88" s="7" t="n">
        <v>46077</v>
      </c>
      <c r="E88" s="5" t="s">
        <v>102</v>
      </c>
      <c r="F88" s="8" t="n">
        <v>1527.54</v>
      </c>
      <c r="G88" s="5" t="s">
        <v>64</v>
      </c>
      <c r="H88" s="5" t="s">
        <v>104</v>
      </c>
      <c r="I88" s="5" t="s">
        <v>27</v>
      </c>
      <c r="J88" s="5" t="s">
        <v>85</v>
      </c>
      <c r="K88" s="5" t="n">
        <f aca="false">IF(AND(G88="deposit",J88="branch",F88&gt;=8000,F88&lt;10000),1,0)</f>
        <v>0</v>
      </c>
      <c r="L88" s="5" t="n">
        <f aca="false">IF(AND(G88="wire_out",MOD(F88,1000)=0,OR(I88="AE",I88="HK",I88="CY",I88="PA")),1,0)</f>
        <v>0</v>
      </c>
      <c r="M88" s="5" t="n">
        <f aca="false">IF(G88="wire_in",IF(SUMPRODUCT(($B$2:$B$191=B88)*($G$2:$G$191="wire_out")*($D$2:$D$191&gt;=D88)*($D$2:$D$191&lt;=D88+1)*($F$2:$F$191&gt;=F88*0.9)*($F$2:$F$191&lt;=F88))&gt;0,1,0),0)</f>
        <v>0</v>
      </c>
      <c r="N88" s="5" t="n">
        <f aca="false">COUNTIFS($B$2:$B$191,B88,$D$2:$D$191,D88)</f>
        <v>1</v>
      </c>
    </row>
    <row r="89" customFormat="false" ht="15" hidden="false" customHeight="false" outlineLevel="0" collapsed="false">
      <c r="A89" s="5" t="n">
        <v>88</v>
      </c>
      <c r="B89" s="5" t="n">
        <v>1080</v>
      </c>
      <c r="C89" s="5" t="s">
        <v>41</v>
      </c>
      <c r="D89" s="7" t="n">
        <v>46087</v>
      </c>
      <c r="E89" s="5" t="s">
        <v>102</v>
      </c>
      <c r="F89" s="8" t="n">
        <v>2717.9</v>
      </c>
      <c r="G89" s="5" t="s">
        <v>64</v>
      </c>
      <c r="H89" s="5" t="s">
        <v>84</v>
      </c>
      <c r="I89" s="5" t="s">
        <v>27</v>
      </c>
      <c r="J89" s="5" t="s">
        <v>66</v>
      </c>
      <c r="K89" s="5" t="n">
        <f aca="false">IF(AND(G89="deposit",J89="branch",F89&gt;=8000,F89&lt;10000),1,0)</f>
        <v>0</v>
      </c>
      <c r="L89" s="5" t="n">
        <f aca="false">IF(AND(G89="wire_out",MOD(F89,1000)=0,OR(I89="AE",I89="HK",I89="CY",I89="PA")),1,0)</f>
        <v>0</v>
      </c>
      <c r="M89" s="5" t="n">
        <f aca="false">IF(G89="wire_in",IF(SUMPRODUCT(($B$2:$B$191=B89)*($G$2:$G$191="wire_out")*($D$2:$D$191&gt;=D89)*($D$2:$D$191&lt;=D89+1)*($F$2:$F$191&gt;=F89*0.9)*($F$2:$F$191&lt;=F89))&gt;0,1,0),0)</f>
        <v>0</v>
      </c>
      <c r="N89" s="5" t="n">
        <f aca="false">COUNTIFS($B$2:$B$191,B89,$D$2:$D$191,D89)</f>
        <v>1</v>
      </c>
    </row>
    <row r="90" customFormat="false" ht="15" hidden="false" customHeight="false" outlineLevel="0" collapsed="false">
      <c r="A90" s="5" t="n">
        <v>89</v>
      </c>
      <c r="B90" s="5" t="n">
        <v>1080</v>
      </c>
      <c r="C90" s="5" t="s">
        <v>41</v>
      </c>
      <c r="D90" s="7" t="n">
        <v>46090</v>
      </c>
      <c r="E90" s="5" t="s">
        <v>102</v>
      </c>
      <c r="F90" s="8" t="n">
        <v>363.98</v>
      </c>
      <c r="G90" s="5" t="s">
        <v>64</v>
      </c>
      <c r="H90" s="5" t="s">
        <v>72</v>
      </c>
      <c r="I90" s="5" t="s">
        <v>27</v>
      </c>
      <c r="J90" s="5" t="s">
        <v>85</v>
      </c>
      <c r="K90" s="5" t="n">
        <f aca="false">IF(AND(G90="deposit",J90="branch",F90&gt;=8000,F90&lt;10000),1,0)</f>
        <v>0</v>
      </c>
      <c r="L90" s="5" t="n">
        <f aca="false">IF(AND(G90="wire_out",MOD(F90,1000)=0,OR(I90="AE",I90="HK",I90="CY",I90="PA")),1,0)</f>
        <v>0</v>
      </c>
      <c r="M90" s="5" t="n">
        <f aca="false">IF(G90="wire_in",IF(SUMPRODUCT(($B$2:$B$191=B90)*($G$2:$G$191="wire_out")*($D$2:$D$191&gt;=D90)*($D$2:$D$191&lt;=D90+1)*($F$2:$F$191&gt;=F90*0.9)*($F$2:$F$191&lt;=F90))&gt;0,1,0),0)</f>
        <v>0</v>
      </c>
      <c r="N90" s="5" t="n">
        <f aca="false">COUNTIFS($B$2:$B$191,B90,$D$2:$D$191,D90)</f>
        <v>1</v>
      </c>
    </row>
    <row r="91" customFormat="false" ht="15" hidden="false" customHeight="false" outlineLevel="0" collapsed="false">
      <c r="A91" s="5" t="n">
        <v>90</v>
      </c>
      <c r="B91" s="5" t="n">
        <v>1080</v>
      </c>
      <c r="C91" s="5" t="s">
        <v>41</v>
      </c>
      <c r="D91" s="7" t="n">
        <v>46092</v>
      </c>
      <c r="E91" s="5" t="s">
        <v>102</v>
      </c>
      <c r="F91" s="8" t="n">
        <v>859.63</v>
      </c>
      <c r="G91" s="5" t="s">
        <v>64</v>
      </c>
      <c r="H91" s="5" t="s">
        <v>104</v>
      </c>
      <c r="I91" s="5" t="s">
        <v>27</v>
      </c>
      <c r="J91" s="5" t="s">
        <v>85</v>
      </c>
      <c r="K91" s="5" t="n">
        <f aca="false">IF(AND(G91="deposit",J91="branch",F91&gt;=8000,F91&lt;10000),1,0)</f>
        <v>0</v>
      </c>
      <c r="L91" s="5" t="n">
        <f aca="false">IF(AND(G91="wire_out",MOD(F91,1000)=0,OR(I91="AE",I91="HK",I91="CY",I91="PA")),1,0)</f>
        <v>0</v>
      </c>
      <c r="M91" s="5" t="n">
        <f aca="false">IF(G91="wire_in",IF(SUMPRODUCT(($B$2:$B$191=B91)*($G$2:$G$191="wire_out")*($D$2:$D$191&gt;=D91)*($D$2:$D$191&lt;=D91+1)*($F$2:$F$191&gt;=F91*0.9)*($F$2:$F$191&lt;=F91))&gt;0,1,0),0)</f>
        <v>0</v>
      </c>
      <c r="N91" s="5" t="n">
        <f aca="false">COUNTIFS($B$2:$B$191,B91,$D$2:$D$191,D91)</f>
        <v>1</v>
      </c>
    </row>
    <row r="92" customFormat="false" ht="15" hidden="false" customHeight="false" outlineLevel="0" collapsed="false">
      <c r="A92" s="5" t="n">
        <v>91</v>
      </c>
      <c r="B92" s="5" t="n">
        <v>1080</v>
      </c>
      <c r="C92" s="5" t="s">
        <v>41</v>
      </c>
      <c r="D92" s="7" t="n">
        <v>46131</v>
      </c>
      <c r="E92" s="5" t="s">
        <v>102</v>
      </c>
      <c r="F92" s="8" t="n">
        <v>2491.46</v>
      </c>
      <c r="G92" s="5" t="s">
        <v>64</v>
      </c>
      <c r="H92" s="5" t="s">
        <v>84</v>
      </c>
      <c r="I92" s="5" t="s">
        <v>27</v>
      </c>
      <c r="J92" s="5" t="s">
        <v>73</v>
      </c>
      <c r="K92" s="5" t="n">
        <f aca="false">IF(AND(G92="deposit",J92="branch",F92&gt;=8000,F92&lt;10000),1,0)</f>
        <v>0</v>
      </c>
      <c r="L92" s="5" t="n">
        <f aca="false">IF(AND(G92="wire_out",MOD(F92,1000)=0,OR(I92="AE",I92="HK",I92="CY",I92="PA")),1,0)</f>
        <v>0</v>
      </c>
      <c r="M92" s="5" t="n">
        <f aca="false">IF(G92="wire_in",IF(SUMPRODUCT(($B$2:$B$191=B92)*($G$2:$G$191="wire_out")*($D$2:$D$191&gt;=D92)*($D$2:$D$191&lt;=D92+1)*($F$2:$F$191&gt;=F92*0.9)*($F$2:$F$191&lt;=F92))&gt;0,1,0),0)</f>
        <v>0</v>
      </c>
      <c r="N92" s="5" t="n">
        <f aca="false">COUNTIFS($B$2:$B$191,B92,$D$2:$D$191,D92)</f>
        <v>1</v>
      </c>
    </row>
    <row r="93" customFormat="false" ht="15" hidden="false" customHeight="false" outlineLevel="0" collapsed="false">
      <c r="A93" s="5" t="n">
        <v>92</v>
      </c>
      <c r="B93" s="5" t="n">
        <v>1080</v>
      </c>
      <c r="C93" s="5" t="s">
        <v>41</v>
      </c>
      <c r="D93" s="7" t="n">
        <v>46136</v>
      </c>
      <c r="E93" s="5" t="s">
        <v>102</v>
      </c>
      <c r="F93" s="8" t="n">
        <v>1664.01</v>
      </c>
      <c r="G93" s="5" t="s">
        <v>71</v>
      </c>
      <c r="H93" s="5" t="s">
        <v>72</v>
      </c>
      <c r="I93" s="5" t="s">
        <v>27</v>
      </c>
      <c r="J93" s="5" t="s">
        <v>85</v>
      </c>
      <c r="K93" s="5" t="n">
        <f aca="false">IF(AND(G93="deposit",J93="branch",F93&gt;=8000,F93&lt;10000),1,0)</f>
        <v>0</v>
      </c>
      <c r="L93" s="5" t="n">
        <f aca="false">IF(AND(G93="wire_out",MOD(F93,1000)=0,OR(I93="AE",I93="HK",I93="CY",I93="PA")),1,0)</f>
        <v>0</v>
      </c>
      <c r="M93" s="5" t="n">
        <f aca="false">IF(G93="wire_in",IF(SUMPRODUCT(($B$2:$B$191=B93)*($G$2:$G$191="wire_out")*($D$2:$D$191&gt;=D93)*($D$2:$D$191&lt;=D93+1)*($F$2:$F$191&gt;=F93*0.9)*($F$2:$F$191&lt;=F93))&gt;0,1,0),0)</f>
        <v>0</v>
      </c>
      <c r="N93" s="5" t="n">
        <f aca="false">COUNTIFS($B$2:$B$191,B93,$D$2:$D$191,D93)</f>
        <v>1</v>
      </c>
    </row>
    <row r="94" customFormat="false" ht="15" hidden="false" customHeight="false" outlineLevel="0" collapsed="false">
      <c r="A94" s="5" t="n">
        <v>93</v>
      </c>
      <c r="B94" s="5" t="n">
        <v>1080</v>
      </c>
      <c r="C94" s="5" t="s">
        <v>41</v>
      </c>
      <c r="D94" s="7" t="n">
        <v>46158</v>
      </c>
      <c r="E94" s="5" t="s">
        <v>102</v>
      </c>
      <c r="F94" s="8" t="n">
        <v>43.31</v>
      </c>
      <c r="G94" s="5" t="s">
        <v>71</v>
      </c>
      <c r="H94" s="5" t="s">
        <v>84</v>
      </c>
      <c r="I94" s="5" t="s">
        <v>27</v>
      </c>
      <c r="J94" s="5" t="s">
        <v>85</v>
      </c>
      <c r="K94" s="5" t="n">
        <f aca="false">IF(AND(G94="deposit",J94="branch",F94&gt;=8000,F94&lt;10000),1,0)</f>
        <v>0</v>
      </c>
      <c r="L94" s="5" t="n">
        <f aca="false">IF(AND(G94="wire_out",MOD(F94,1000)=0,OR(I94="AE",I94="HK",I94="CY",I94="PA")),1,0)</f>
        <v>0</v>
      </c>
      <c r="M94" s="5" t="n">
        <f aca="false">IF(G94="wire_in",IF(SUMPRODUCT(($B$2:$B$191=B94)*($G$2:$G$191="wire_out")*($D$2:$D$191&gt;=D94)*($D$2:$D$191&lt;=D94+1)*($F$2:$F$191&gt;=F94*0.9)*($F$2:$F$191&lt;=F94))&gt;0,1,0),0)</f>
        <v>0</v>
      </c>
      <c r="N94" s="5" t="n">
        <f aca="false">COUNTIFS($B$2:$B$191,B94,$D$2:$D$191,D94)</f>
        <v>1</v>
      </c>
    </row>
    <row r="95" customFormat="false" ht="15" hidden="false" customHeight="false" outlineLevel="0" collapsed="false">
      <c r="A95" s="5" t="n">
        <v>94</v>
      </c>
      <c r="B95" s="5" t="n">
        <v>1080</v>
      </c>
      <c r="C95" s="5" t="s">
        <v>41</v>
      </c>
      <c r="D95" s="7" t="n">
        <v>46182</v>
      </c>
      <c r="E95" s="5" t="s">
        <v>102</v>
      </c>
      <c r="F95" s="8" t="n">
        <v>2995.39</v>
      </c>
      <c r="G95" s="5" t="s">
        <v>64</v>
      </c>
      <c r="H95" s="5" t="s">
        <v>84</v>
      </c>
      <c r="I95" s="5" t="s">
        <v>27</v>
      </c>
      <c r="J95" s="5" t="s">
        <v>66</v>
      </c>
      <c r="K95" s="5" t="n">
        <f aca="false">IF(AND(G95="deposit",J95="branch",F95&gt;=8000,F95&lt;10000),1,0)</f>
        <v>0</v>
      </c>
      <c r="L95" s="5" t="n">
        <f aca="false">IF(AND(G95="wire_out",MOD(F95,1000)=0,OR(I95="AE",I95="HK",I95="CY",I95="PA")),1,0)</f>
        <v>0</v>
      </c>
      <c r="M95" s="5" t="n">
        <f aca="false">IF(G95="wire_in",IF(SUMPRODUCT(($B$2:$B$191=B95)*($G$2:$G$191="wire_out")*($D$2:$D$191&gt;=D95)*($D$2:$D$191&lt;=D95+1)*($F$2:$F$191&gt;=F95*0.9)*($F$2:$F$191&lt;=F95))&gt;0,1,0),0)</f>
        <v>0</v>
      </c>
      <c r="N95" s="5" t="n">
        <f aca="false">COUNTIFS($B$2:$B$191,B95,$D$2:$D$191,D95)</f>
        <v>1</v>
      </c>
    </row>
    <row r="96" customFormat="false" ht="15" hidden="false" customHeight="false" outlineLevel="0" collapsed="false">
      <c r="A96" s="5" t="n">
        <v>95</v>
      </c>
      <c r="B96" s="5" t="n">
        <v>1080</v>
      </c>
      <c r="C96" s="5" t="s">
        <v>41</v>
      </c>
      <c r="D96" s="7" t="n">
        <v>46191</v>
      </c>
      <c r="E96" s="5" t="s">
        <v>102</v>
      </c>
      <c r="F96" s="8" t="n">
        <v>1759.34</v>
      </c>
      <c r="G96" s="5" t="s">
        <v>71</v>
      </c>
      <c r="H96" s="5" t="s">
        <v>104</v>
      </c>
      <c r="I96" s="5" t="s">
        <v>27</v>
      </c>
      <c r="J96" s="5" t="s">
        <v>85</v>
      </c>
      <c r="K96" s="5" t="n">
        <f aca="false">IF(AND(G96="deposit",J96="branch",F96&gt;=8000,F96&lt;10000),1,0)</f>
        <v>0</v>
      </c>
      <c r="L96" s="5" t="n">
        <f aca="false">IF(AND(G96="wire_out",MOD(F96,1000)=0,OR(I96="AE",I96="HK",I96="CY",I96="PA")),1,0)</f>
        <v>0</v>
      </c>
      <c r="M96" s="5" t="n">
        <f aca="false">IF(G96="wire_in",IF(SUMPRODUCT(($B$2:$B$191=B96)*($G$2:$G$191="wire_out")*($D$2:$D$191&gt;=D96)*($D$2:$D$191&lt;=D96+1)*($F$2:$F$191&gt;=F96*0.9)*($F$2:$F$191&lt;=F96))&gt;0,1,0),0)</f>
        <v>0</v>
      </c>
      <c r="N96" s="5" t="n">
        <f aca="false">COUNTIFS($B$2:$B$191,B96,$D$2:$D$191,D96)</f>
        <v>1</v>
      </c>
    </row>
    <row r="97" customFormat="false" ht="15" hidden="false" customHeight="false" outlineLevel="0" collapsed="false">
      <c r="A97" s="5" t="n">
        <v>96</v>
      </c>
      <c r="B97" s="5" t="n">
        <v>1080</v>
      </c>
      <c r="C97" s="5" t="s">
        <v>41</v>
      </c>
      <c r="D97" s="7" t="n">
        <v>46194</v>
      </c>
      <c r="E97" s="5" t="s">
        <v>102</v>
      </c>
      <c r="F97" s="8" t="n">
        <v>2154.25</v>
      </c>
      <c r="G97" s="5" t="s">
        <v>64</v>
      </c>
      <c r="H97" s="5" t="s">
        <v>104</v>
      </c>
      <c r="I97" s="5" t="s">
        <v>27</v>
      </c>
      <c r="J97" s="5" t="s">
        <v>73</v>
      </c>
      <c r="K97" s="5" t="n">
        <f aca="false">IF(AND(G97="deposit",J97="branch",F97&gt;=8000,F97&lt;10000),1,0)</f>
        <v>0</v>
      </c>
      <c r="L97" s="5" t="n">
        <f aca="false">IF(AND(G97="wire_out",MOD(F97,1000)=0,OR(I97="AE",I97="HK",I97="CY",I97="PA")),1,0)</f>
        <v>0</v>
      </c>
      <c r="M97" s="5" t="n">
        <f aca="false">IF(G97="wire_in",IF(SUMPRODUCT(($B$2:$B$191=B97)*($G$2:$G$191="wire_out")*($D$2:$D$191&gt;=D97)*($D$2:$D$191&lt;=D97+1)*($F$2:$F$191&gt;=F97*0.9)*($F$2:$F$191&lt;=F97))&gt;0,1,0),0)</f>
        <v>0</v>
      </c>
      <c r="N97" s="5" t="n">
        <f aca="false">COUNTIFS($B$2:$B$191,B97,$D$2:$D$191,D97)</f>
        <v>1</v>
      </c>
    </row>
    <row r="98" customFormat="false" ht="15" hidden="false" customHeight="false" outlineLevel="0" collapsed="false">
      <c r="A98" s="5" t="n">
        <v>97</v>
      </c>
      <c r="B98" s="5" t="n">
        <v>1080</v>
      </c>
      <c r="C98" s="5" t="s">
        <v>41</v>
      </c>
      <c r="D98" s="7" t="n">
        <v>46197</v>
      </c>
      <c r="E98" s="5" t="s">
        <v>102</v>
      </c>
      <c r="F98" s="8" t="n">
        <v>763.6</v>
      </c>
      <c r="G98" s="5" t="s">
        <v>64</v>
      </c>
      <c r="H98" s="5" t="s">
        <v>104</v>
      </c>
      <c r="I98" s="5" t="s">
        <v>27</v>
      </c>
      <c r="J98" s="5" t="s">
        <v>66</v>
      </c>
      <c r="K98" s="5" t="n">
        <f aca="false">IF(AND(G98="deposit",J98="branch",F98&gt;=8000,F98&lt;10000),1,0)</f>
        <v>0</v>
      </c>
      <c r="L98" s="5" t="n">
        <f aca="false">IF(AND(G98="wire_out",MOD(F98,1000)=0,OR(I98="AE",I98="HK",I98="CY",I98="PA")),1,0)</f>
        <v>0</v>
      </c>
      <c r="M98" s="5" t="n">
        <f aca="false">IF(G98="wire_in",IF(SUMPRODUCT(($B$2:$B$191=B98)*($G$2:$G$191="wire_out")*($D$2:$D$191&gt;=D98)*($D$2:$D$191&lt;=D98+1)*($F$2:$F$191&gt;=F98*0.9)*($F$2:$F$191&lt;=F98))&gt;0,1,0),0)</f>
        <v>0</v>
      </c>
      <c r="N98" s="5" t="n">
        <f aca="false">COUNTIFS($B$2:$B$191,B98,$D$2:$D$191,D98)</f>
        <v>1</v>
      </c>
    </row>
    <row r="99" customFormat="false" ht="15" hidden="false" customHeight="false" outlineLevel="0" collapsed="false">
      <c r="A99" s="5" t="n">
        <v>98</v>
      </c>
      <c r="B99" s="5" t="n">
        <v>1080</v>
      </c>
      <c r="C99" s="5" t="s">
        <v>41</v>
      </c>
      <c r="D99" s="7" t="n">
        <v>46198</v>
      </c>
      <c r="E99" s="5" t="s">
        <v>102</v>
      </c>
      <c r="F99" s="8" t="n">
        <v>1910.03</v>
      </c>
      <c r="G99" s="5" t="s">
        <v>71</v>
      </c>
      <c r="H99" s="5" t="s">
        <v>72</v>
      </c>
      <c r="I99" s="5" t="s">
        <v>27</v>
      </c>
      <c r="J99" s="5" t="s">
        <v>73</v>
      </c>
      <c r="K99" s="5" t="n">
        <f aca="false">IF(AND(G99="deposit",J99="branch",F99&gt;=8000,F99&lt;10000),1,0)</f>
        <v>0</v>
      </c>
      <c r="L99" s="5" t="n">
        <f aca="false">IF(AND(G99="wire_out",MOD(F99,1000)=0,OR(I99="AE",I99="HK",I99="CY",I99="PA")),1,0)</f>
        <v>0</v>
      </c>
      <c r="M99" s="5" t="n">
        <f aca="false">IF(G99="wire_in",IF(SUMPRODUCT(($B$2:$B$191=B99)*($G$2:$G$191="wire_out")*($D$2:$D$191&gt;=D99)*($D$2:$D$191&lt;=D99+1)*($F$2:$F$191&gt;=F99*0.9)*($F$2:$F$191&lt;=F99))&gt;0,1,0),0)</f>
        <v>0</v>
      </c>
      <c r="N99" s="5" t="n">
        <f aca="false">COUNTIFS($B$2:$B$191,B99,$D$2:$D$191,D99)</f>
        <v>1</v>
      </c>
    </row>
    <row r="100" customFormat="false" ht="15" hidden="false" customHeight="false" outlineLevel="0" collapsed="false">
      <c r="A100" s="5" t="n">
        <v>99</v>
      </c>
      <c r="B100" s="5" t="n">
        <v>1080</v>
      </c>
      <c r="C100" s="5" t="s">
        <v>41</v>
      </c>
      <c r="D100" s="7" t="n">
        <v>46220</v>
      </c>
      <c r="E100" s="5" t="s">
        <v>102</v>
      </c>
      <c r="F100" s="8" t="n">
        <v>409.84</v>
      </c>
      <c r="G100" s="5" t="s">
        <v>71</v>
      </c>
      <c r="H100" s="5" t="s">
        <v>103</v>
      </c>
      <c r="I100" s="5" t="s">
        <v>27</v>
      </c>
      <c r="J100" s="5" t="s">
        <v>66</v>
      </c>
      <c r="K100" s="5" t="n">
        <f aca="false">IF(AND(G100="deposit",J100="branch",F100&gt;=8000,F100&lt;10000),1,0)</f>
        <v>0</v>
      </c>
      <c r="L100" s="5" t="n">
        <f aca="false">IF(AND(G100="wire_out",MOD(F100,1000)=0,OR(I100="AE",I100="HK",I100="CY",I100="PA")),1,0)</f>
        <v>0</v>
      </c>
      <c r="M100" s="5" t="n">
        <f aca="false">IF(G100="wire_in",IF(SUMPRODUCT(($B$2:$B$191=B100)*($G$2:$G$191="wire_out")*($D$2:$D$191&gt;=D100)*($D$2:$D$191&lt;=D100+1)*($F$2:$F$191&gt;=F100*0.9)*($F$2:$F$191&lt;=F100))&gt;0,1,0),0)</f>
        <v>0</v>
      </c>
      <c r="N100" s="5" t="n">
        <f aca="false">COUNTIFS($B$2:$B$191,B100,$D$2:$D$191,D100)</f>
        <v>1</v>
      </c>
    </row>
    <row r="101" customFormat="false" ht="15" hidden="false" customHeight="false" outlineLevel="0" collapsed="false">
      <c r="A101" s="5" t="n">
        <v>100</v>
      </c>
      <c r="B101" s="5" t="n">
        <v>1080</v>
      </c>
      <c r="C101" s="5" t="s">
        <v>41</v>
      </c>
      <c r="D101" s="7" t="n">
        <v>46236</v>
      </c>
      <c r="E101" s="5" t="s">
        <v>102</v>
      </c>
      <c r="F101" s="8" t="n">
        <v>1638.79</v>
      </c>
      <c r="G101" s="5" t="s">
        <v>71</v>
      </c>
      <c r="H101" s="5" t="s">
        <v>72</v>
      </c>
      <c r="I101" s="5" t="s">
        <v>27</v>
      </c>
      <c r="J101" s="5" t="s">
        <v>66</v>
      </c>
      <c r="K101" s="5" t="n">
        <f aca="false">IF(AND(G101="deposit",J101="branch",F101&gt;=8000,F101&lt;10000),1,0)</f>
        <v>0</v>
      </c>
      <c r="L101" s="5" t="n">
        <f aca="false">IF(AND(G101="wire_out",MOD(F101,1000)=0,OR(I101="AE",I101="HK",I101="CY",I101="PA")),1,0)</f>
        <v>0</v>
      </c>
      <c r="M101" s="5" t="n">
        <f aca="false">IF(G101="wire_in",IF(SUMPRODUCT(($B$2:$B$191=B101)*($G$2:$G$191="wire_out")*($D$2:$D$191&gt;=D101)*($D$2:$D$191&lt;=D101+1)*($F$2:$F$191&gt;=F101*0.9)*($F$2:$F$191&lt;=F101))&gt;0,1,0),0)</f>
        <v>0</v>
      </c>
      <c r="N101" s="5" t="n">
        <f aca="false">COUNTIFS($B$2:$B$191,B101,$D$2:$D$191,D101)</f>
        <v>2</v>
      </c>
    </row>
    <row r="102" customFormat="false" ht="15" hidden="false" customHeight="false" outlineLevel="0" collapsed="false">
      <c r="A102" s="5" t="n">
        <v>101</v>
      </c>
      <c r="B102" s="5" t="n">
        <v>1080</v>
      </c>
      <c r="C102" s="5" t="s">
        <v>41</v>
      </c>
      <c r="D102" s="7" t="n">
        <v>46236</v>
      </c>
      <c r="E102" s="5" t="s">
        <v>102</v>
      </c>
      <c r="F102" s="8" t="n">
        <v>1120.26</v>
      </c>
      <c r="G102" s="5" t="s">
        <v>64</v>
      </c>
      <c r="H102" s="5" t="s">
        <v>105</v>
      </c>
      <c r="I102" s="5" t="s">
        <v>27</v>
      </c>
      <c r="J102" s="5" t="s">
        <v>85</v>
      </c>
      <c r="K102" s="5" t="n">
        <f aca="false">IF(AND(G102="deposit",J102="branch",F102&gt;=8000,F102&lt;10000),1,0)</f>
        <v>0</v>
      </c>
      <c r="L102" s="5" t="n">
        <f aca="false">IF(AND(G102="wire_out",MOD(F102,1000)=0,OR(I102="AE",I102="HK",I102="CY",I102="PA")),1,0)</f>
        <v>0</v>
      </c>
      <c r="M102" s="5" t="n">
        <f aca="false">IF(G102="wire_in",IF(SUMPRODUCT(($B$2:$B$191=B102)*($G$2:$G$191="wire_out")*($D$2:$D$191&gt;=D102)*($D$2:$D$191&lt;=D102+1)*($F$2:$F$191&gt;=F102*0.9)*($F$2:$F$191&lt;=F102))&gt;0,1,0),0)</f>
        <v>0</v>
      </c>
      <c r="N102" s="5" t="n">
        <f aca="false">COUNTIFS($B$2:$B$191,B102,$D$2:$D$191,D102)</f>
        <v>2</v>
      </c>
    </row>
    <row r="103" customFormat="false" ht="15" hidden="false" customHeight="false" outlineLevel="0" collapsed="false">
      <c r="A103" s="5" t="n">
        <v>102</v>
      </c>
      <c r="B103" s="5" t="n">
        <v>1080</v>
      </c>
      <c r="C103" s="5" t="s">
        <v>41</v>
      </c>
      <c r="D103" s="7" t="n">
        <v>46248</v>
      </c>
      <c r="E103" s="5" t="s">
        <v>102</v>
      </c>
      <c r="F103" s="8" t="n">
        <v>747.97</v>
      </c>
      <c r="G103" s="5" t="s">
        <v>71</v>
      </c>
      <c r="H103" s="5" t="s">
        <v>103</v>
      </c>
      <c r="I103" s="5" t="s">
        <v>27</v>
      </c>
      <c r="J103" s="5" t="s">
        <v>73</v>
      </c>
      <c r="K103" s="5" t="n">
        <f aca="false">IF(AND(G103="deposit",J103="branch",F103&gt;=8000,F103&lt;10000),1,0)</f>
        <v>0</v>
      </c>
      <c r="L103" s="5" t="n">
        <f aca="false">IF(AND(G103="wire_out",MOD(F103,1000)=0,OR(I103="AE",I103="HK",I103="CY",I103="PA")),1,0)</f>
        <v>0</v>
      </c>
      <c r="M103" s="5" t="n">
        <f aca="false">IF(G103="wire_in",IF(SUMPRODUCT(($B$2:$B$191=B103)*($G$2:$G$191="wire_out")*($D$2:$D$191&gt;=D103)*($D$2:$D$191&lt;=D103+1)*($F$2:$F$191&gt;=F103*0.9)*($F$2:$F$191&lt;=F103))&gt;0,1,0),0)</f>
        <v>0</v>
      </c>
      <c r="N103" s="5" t="n">
        <f aca="false">COUNTIFS($B$2:$B$191,B103,$D$2:$D$191,D103)</f>
        <v>1</v>
      </c>
    </row>
    <row r="104" customFormat="false" ht="15" hidden="false" customHeight="false" outlineLevel="0" collapsed="false">
      <c r="A104" s="5" t="n">
        <v>103</v>
      </c>
      <c r="B104" s="5" t="n">
        <v>1080</v>
      </c>
      <c r="C104" s="5" t="s">
        <v>41</v>
      </c>
      <c r="D104" s="7" t="n">
        <v>46249</v>
      </c>
      <c r="E104" s="5" t="s">
        <v>102</v>
      </c>
      <c r="F104" s="8" t="n">
        <v>2626.64</v>
      </c>
      <c r="G104" s="5" t="s">
        <v>64</v>
      </c>
      <c r="H104" s="5" t="s">
        <v>103</v>
      </c>
      <c r="I104" s="5" t="s">
        <v>27</v>
      </c>
      <c r="J104" s="5" t="s">
        <v>85</v>
      </c>
      <c r="K104" s="5" t="n">
        <f aca="false">IF(AND(G104="deposit",J104="branch",F104&gt;=8000,F104&lt;10000),1,0)</f>
        <v>0</v>
      </c>
      <c r="L104" s="5" t="n">
        <f aca="false">IF(AND(G104="wire_out",MOD(F104,1000)=0,OR(I104="AE",I104="HK",I104="CY",I104="PA")),1,0)</f>
        <v>0</v>
      </c>
      <c r="M104" s="5" t="n">
        <f aca="false">IF(G104="wire_in",IF(SUMPRODUCT(($B$2:$B$191=B104)*($G$2:$G$191="wire_out")*($D$2:$D$191&gt;=D104)*($D$2:$D$191&lt;=D104+1)*($F$2:$F$191&gt;=F104*0.9)*($F$2:$F$191&lt;=F104))&gt;0,1,0),0)</f>
        <v>0</v>
      </c>
      <c r="N104" s="5" t="n">
        <f aca="false">COUNTIFS($B$2:$B$191,B104,$D$2:$D$191,D104)</f>
        <v>1</v>
      </c>
    </row>
    <row r="105" customFormat="false" ht="15" hidden="false" customHeight="false" outlineLevel="0" collapsed="false">
      <c r="A105" s="5" t="n">
        <v>104</v>
      </c>
      <c r="B105" s="5" t="n">
        <v>1080</v>
      </c>
      <c r="C105" s="5" t="s">
        <v>41</v>
      </c>
      <c r="D105" s="7" t="n">
        <v>46260</v>
      </c>
      <c r="E105" s="5" t="s">
        <v>102</v>
      </c>
      <c r="F105" s="8" t="n">
        <v>2260.56</v>
      </c>
      <c r="G105" s="5" t="s">
        <v>64</v>
      </c>
      <c r="H105" s="5" t="s">
        <v>84</v>
      </c>
      <c r="I105" s="5" t="s">
        <v>27</v>
      </c>
      <c r="J105" s="5" t="s">
        <v>73</v>
      </c>
      <c r="K105" s="5" t="n">
        <f aca="false">IF(AND(G105="deposit",J105="branch",F105&gt;=8000,F105&lt;10000),1,0)</f>
        <v>0</v>
      </c>
      <c r="L105" s="5" t="n">
        <f aca="false">IF(AND(G105="wire_out",MOD(F105,1000)=0,OR(I105="AE",I105="HK",I105="CY",I105="PA")),1,0)</f>
        <v>0</v>
      </c>
      <c r="M105" s="5" t="n">
        <f aca="false">IF(G105="wire_in",IF(SUMPRODUCT(($B$2:$B$191=B105)*($G$2:$G$191="wire_out")*($D$2:$D$191&gt;=D105)*($D$2:$D$191&lt;=D105+1)*($F$2:$F$191&gt;=F105*0.9)*($F$2:$F$191&lt;=F105))&gt;0,1,0),0)</f>
        <v>0</v>
      </c>
      <c r="N105" s="5" t="n">
        <f aca="false">COUNTIFS($B$2:$B$191,B105,$D$2:$D$191,D105)</f>
        <v>1</v>
      </c>
    </row>
    <row r="106" customFormat="false" ht="15" hidden="false" customHeight="false" outlineLevel="0" collapsed="false">
      <c r="A106" s="5" t="n">
        <v>105</v>
      </c>
      <c r="B106" s="5" t="n">
        <v>1090</v>
      </c>
      <c r="C106" s="5" t="s">
        <v>43</v>
      </c>
      <c r="D106" s="7" t="n">
        <v>46032</v>
      </c>
      <c r="E106" s="5" t="s">
        <v>102</v>
      </c>
      <c r="F106" s="8" t="n">
        <v>343.04</v>
      </c>
      <c r="G106" s="5" t="s">
        <v>71</v>
      </c>
      <c r="H106" s="5" t="s">
        <v>104</v>
      </c>
      <c r="I106" s="5" t="s">
        <v>27</v>
      </c>
      <c r="J106" s="5" t="s">
        <v>66</v>
      </c>
      <c r="K106" s="5" t="n">
        <f aca="false">IF(AND(G106="deposit",J106="branch",F106&gt;=8000,F106&lt;10000),1,0)</f>
        <v>0</v>
      </c>
      <c r="L106" s="5" t="n">
        <f aca="false">IF(AND(G106="wire_out",MOD(F106,1000)=0,OR(I106="AE",I106="HK",I106="CY",I106="PA")),1,0)</f>
        <v>0</v>
      </c>
      <c r="M106" s="5" t="n">
        <f aca="false">IF(G106="wire_in",IF(SUMPRODUCT(($B$2:$B$191=B106)*($G$2:$G$191="wire_out")*($D$2:$D$191&gt;=D106)*($D$2:$D$191&lt;=D106+1)*($F$2:$F$191&gt;=F106*0.9)*($F$2:$F$191&lt;=F106))&gt;0,1,0),0)</f>
        <v>0</v>
      </c>
      <c r="N106" s="5" t="n">
        <f aca="false">COUNTIFS($B$2:$B$191,B106,$D$2:$D$191,D106)</f>
        <v>1</v>
      </c>
    </row>
    <row r="107" customFormat="false" ht="15" hidden="false" customHeight="false" outlineLevel="0" collapsed="false">
      <c r="A107" s="5" t="n">
        <v>106</v>
      </c>
      <c r="B107" s="5" t="n">
        <v>1090</v>
      </c>
      <c r="C107" s="5" t="s">
        <v>43</v>
      </c>
      <c r="D107" s="7" t="n">
        <v>46040</v>
      </c>
      <c r="E107" s="5" t="s">
        <v>102</v>
      </c>
      <c r="F107" s="8" t="n">
        <v>2847.65</v>
      </c>
      <c r="G107" s="5" t="s">
        <v>71</v>
      </c>
      <c r="H107" s="5" t="s">
        <v>72</v>
      </c>
      <c r="I107" s="5" t="s">
        <v>27</v>
      </c>
      <c r="J107" s="5" t="s">
        <v>73</v>
      </c>
      <c r="K107" s="5" t="n">
        <f aca="false">IF(AND(G107="deposit",J107="branch",F107&gt;=8000,F107&lt;10000),1,0)</f>
        <v>0</v>
      </c>
      <c r="L107" s="5" t="n">
        <f aca="false">IF(AND(G107="wire_out",MOD(F107,1000)=0,OR(I107="AE",I107="HK",I107="CY",I107="PA")),1,0)</f>
        <v>0</v>
      </c>
      <c r="M107" s="5" t="n">
        <f aca="false">IF(G107="wire_in",IF(SUMPRODUCT(($B$2:$B$191=B107)*($G$2:$G$191="wire_out")*($D$2:$D$191&gt;=D107)*($D$2:$D$191&lt;=D107+1)*($F$2:$F$191&gt;=F107*0.9)*($F$2:$F$191&lt;=F107))&gt;0,1,0),0)</f>
        <v>0</v>
      </c>
      <c r="N107" s="5" t="n">
        <f aca="false">COUNTIFS($B$2:$B$191,B107,$D$2:$D$191,D107)</f>
        <v>1</v>
      </c>
    </row>
    <row r="108" customFormat="false" ht="15" hidden="false" customHeight="false" outlineLevel="0" collapsed="false">
      <c r="A108" s="5" t="n">
        <v>107</v>
      </c>
      <c r="B108" s="5" t="n">
        <v>1090</v>
      </c>
      <c r="C108" s="5" t="s">
        <v>43</v>
      </c>
      <c r="D108" s="7" t="n">
        <v>46055</v>
      </c>
      <c r="E108" s="5" t="s">
        <v>102</v>
      </c>
      <c r="F108" s="8" t="n">
        <v>591.68</v>
      </c>
      <c r="G108" s="5" t="s">
        <v>71</v>
      </c>
      <c r="H108" s="5" t="s">
        <v>103</v>
      </c>
      <c r="I108" s="5" t="s">
        <v>27</v>
      </c>
      <c r="J108" s="5" t="s">
        <v>66</v>
      </c>
      <c r="K108" s="5" t="n">
        <f aca="false">IF(AND(G108="deposit",J108="branch",F108&gt;=8000,F108&lt;10000),1,0)</f>
        <v>0</v>
      </c>
      <c r="L108" s="5" t="n">
        <f aca="false">IF(AND(G108="wire_out",MOD(F108,1000)=0,OR(I108="AE",I108="HK",I108="CY",I108="PA")),1,0)</f>
        <v>0</v>
      </c>
      <c r="M108" s="5" t="n">
        <f aca="false">IF(G108="wire_in",IF(SUMPRODUCT(($B$2:$B$191=B108)*($G$2:$G$191="wire_out")*($D$2:$D$191&gt;=D108)*($D$2:$D$191&lt;=D108+1)*($F$2:$F$191&gt;=F108*0.9)*($F$2:$F$191&lt;=F108))&gt;0,1,0),0)</f>
        <v>0</v>
      </c>
      <c r="N108" s="5" t="n">
        <f aca="false">COUNTIFS($B$2:$B$191,B108,$D$2:$D$191,D108)</f>
        <v>1</v>
      </c>
    </row>
    <row r="109" customFormat="false" ht="15" hidden="false" customHeight="false" outlineLevel="0" collapsed="false">
      <c r="A109" s="5" t="n">
        <v>108</v>
      </c>
      <c r="B109" s="5" t="n">
        <v>1090</v>
      </c>
      <c r="C109" s="5" t="s">
        <v>43</v>
      </c>
      <c r="D109" s="7" t="n">
        <v>46071</v>
      </c>
      <c r="E109" s="5" t="s">
        <v>102</v>
      </c>
      <c r="F109" s="8" t="n">
        <v>779.07</v>
      </c>
      <c r="G109" s="5" t="s">
        <v>71</v>
      </c>
      <c r="H109" s="5" t="s">
        <v>84</v>
      </c>
      <c r="I109" s="5" t="s">
        <v>27</v>
      </c>
      <c r="J109" s="5" t="s">
        <v>66</v>
      </c>
      <c r="K109" s="5" t="n">
        <f aca="false">IF(AND(G109="deposit",J109="branch",F109&gt;=8000,F109&lt;10000),1,0)</f>
        <v>0</v>
      </c>
      <c r="L109" s="5" t="n">
        <f aca="false">IF(AND(G109="wire_out",MOD(F109,1000)=0,OR(I109="AE",I109="HK",I109="CY",I109="PA")),1,0)</f>
        <v>0</v>
      </c>
      <c r="M109" s="5" t="n">
        <f aca="false">IF(G109="wire_in",IF(SUMPRODUCT(($B$2:$B$191=B109)*($G$2:$G$191="wire_out")*($D$2:$D$191&gt;=D109)*($D$2:$D$191&lt;=D109+1)*($F$2:$F$191&gt;=F109*0.9)*($F$2:$F$191&lt;=F109))&gt;0,1,0),0)</f>
        <v>0</v>
      </c>
      <c r="N109" s="5" t="n">
        <f aca="false">COUNTIFS($B$2:$B$191,B109,$D$2:$D$191,D109)</f>
        <v>1</v>
      </c>
    </row>
    <row r="110" customFormat="false" ht="15" hidden="false" customHeight="false" outlineLevel="0" collapsed="false">
      <c r="A110" s="5" t="n">
        <v>109</v>
      </c>
      <c r="B110" s="5" t="n">
        <v>1090</v>
      </c>
      <c r="C110" s="5" t="s">
        <v>43</v>
      </c>
      <c r="D110" s="7" t="n">
        <v>46079</v>
      </c>
      <c r="E110" s="5" t="s">
        <v>102</v>
      </c>
      <c r="F110" s="8" t="n">
        <v>614.73</v>
      </c>
      <c r="G110" s="5" t="s">
        <v>71</v>
      </c>
      <c r="H110" s="5" t="s">
        <v>104</v>
      </c>
      <c r="I110" s="5" t="s">
        <v>27</v>
      </c>
      <c r="J110" s="5" t="s">
        <v>73</v>
      </c>
      <c r="K110" s="5" t="n">
        <f aca="false">IF(AND(G110="deposit",J110="branch",F110&gt;=8000,F110&lt;10000),1,0)</f>
        <v>0</v>
      </c>
      <c r="L110" s="5" t="n">
        <f aca="false">IF(AND(G110="wire_out",MOD(F110,1000)=0,OR(I110="AE",I110="HK",I110="CY",I110="PA")),1,0)</f>
        <v>0</v>
      </c>
      <c r="M110" s="5" t="n">
        <f aca="false">IF(G110="wire_in",IF(SUMPRODUCT(($B$2:$B$191=B110)*($G$2:$G$191="wire_out")*($D$2:$D$191&gt;=D110)*($D$2:$D$191&lt;=D110+1)*($F$2:$F$191&gt;=F110*0.9)*($F$2:$F$191&lt;=F110))&gt;0,1,0),0)</f>
        <v>0</v>
      </c>
      <c r="N110" s="5" t="n">
        <f aca="false">COUNTIFS($B$2:$B$191,B110,$D$2:$D$191,D110)</f>
        <v>1</v>
      </c>
    </row>
    <row r="111" customFormat="false" ht="15" hidden="false" customHeight="false" outlineLevel="0" collapsed="false">
      <c r="A111" s="5" t="n">
        <v>110</v>
      </c>
      <c r="B111" s="5" t="n">
        <v>1090</v>
      </c>
      <c r="C111" s="5" t="s">
        <v>43</v>
      </c>
      <c r="D111" s="7" t="n">
        <v>46191</v>
      </c>
      <c r="E111" s="5" t="s">
        <v>102</v>
      </c>
      <c r="F111" s="8" t="n">
        <v>595.53</v>
      </c>
      <c r="G111" s="5" t="s">
        <v>71</v>
      </c>
      <c r="H111" s="5" t="s">
        <v>104</v>
      </c>
      <c r="I111" s="5" t="s">
        <v>27</v>
      </c>
      <c r="J111" s="5" t="s">
        <v>85</v>
      </c>
      <c r="K111" s="5" t="n">
        <f aca="false">IF(AND(G111="deposit",J111="branch",F111&gt;=8000,F111&lt;10000),1,0)</f>
        <v>0</v>
      </c>
      <c r="L111" s="5" t="n">
        <f aca="false">IF(AND(G111="wire_out",MOD(F111,1000)=0,OR(I111="AE",I111="HK",I111="CY",I111="PA")),1,0)</f>
        <v>0</v>
      </c>
      <c r="M111" s="5" t="n">
        <f aca="false">IF(G111="wire_in",IF(SUMPRODUCT(($B$2:$B$191=B111)*($G$2:$G$191="wire_out")*($D$2:$D$191&gt;=D111)*($D$2:$D$191&lt;=D111+1)*($F$2:$F$191&gt;=F111*0.9)*($F$2:$F$191&lt;=F111))&gt;0,1,0),0)</f>
        <v>0</v>
      </c>
      <c r="N111" s="5" t="n">
        <f aca="false">COUNTIFS($B$2:$B$191,B111,$D$2:$D$191,D111)</f>
        <v>1</v>
      </c>
    </row>
    <row r="112" customFormat="false" ht="15" hidden="false" customHeight="false" outlineLevel="0" collapsed="false">
      <c r="A112" s="5" t="n">
        <v>111</v>
      </c>
      <c r="B112" s="5" t="n">
        <v>1090</v>
      </c>
      <c r="C112" s="5" t="s">
        <v>43</v>
      </c>
      <c r="D112" s="7" t="n">
        <v>46192</v>
      </c>
      <c r="E112" s="5" t="s">
        <v>102</v>
      </c>
      <c r="F112" s="8" t="n">
        <v>2547.09</v>
      </c>
      <c r="G112" s="5" t="s">
        <v>71</v>
      </c>
      <c r="H112" s="5" t="s">
        <v>72</v>
      </c>
      <c r="I112" s="5" t="s">
        <v>27</v>
      </c>
      <c r="J112" s="5" t="s">
        <v>73</v>
      </c>
      <c r="K112" s="5" t="n">
        <f aca="false">IF(AND(G112="deposit",J112="branch",F112&gt;=8000,F112&lt;10000),1,0)</f>
        <v>0</v>
      </c>
      <c r="L112" s="5" t="n">
        <f aca="false">IF(AND(G112="wire_out",MOD(F112,1000)=0,OR(I112="AE",I112="HK",I112="CY",I112="PA")),1,0)</f>
        <v>0</v>
      </c>
      <c r="M112" s="5" t="n">
        <f aca="false">IF(G112="wire_in",IF(SUMPRODUCT(($B$2:$B$191=B112)*($G$2:$G$191="wire_out")*($D$2:$D$191&gt;=D112)*($D$2:$D$191&lt;=D112+1)*($F$2:$F$191&gt;=F112*0.9)*($F$2:$F$191&lt;=F112))&gt;0,1,0),0)</f>
        <v>0</v>
      </c>
      <c r="N112" s="5" t="n">
        <f aca="false">COUNTIFS($B$2:$B$191,B112,$D$2:$D$191,D112)</f>
        <v>1</v>
      </c>
    </row>
    <row r="113" customFormat="false" ht="15" hidden="false" customHeight="false" outlineLevel="0" collapsed="false">
      <c r="A113" s="5" t="n">
        <v>112</v>
      </c>
      <c r="B113" s="5" t="n">
        <v>1090</v>
      </c>
      <c r="C113" s="5" t="s">
        <v>43</v>
      </c>
      <c r="D113" s="7" t="n">
        <v>46193</v>
      </c>
      <c r="E113" s="5" t="s">
        <v>102</v>
      </c>
      <c r="F113" s="8" t="n">
        <v>1237.01</v>
      </c>
      <c r="G113" s="5" t="s">
        <v>71</v>
      </c>
      <c r="H113" s="5" t="s">
        <v>104</v>
      </c>
      <c r="I113" s="5" t="s">
        <v>27</v>
      </c>
      <c r="J113" s="5" t="s">
        <v>66</v>
      </c>
      <c r="K113" s="5" t="n">
        <f aca="false">IF(AND(G113="deposit",J113="branch",F113&gt;=8000,F113&lt;10000),1,0)</f>
        <v>0</v>
      </c>
      <c r="L113" s="5" t="n">
        <f aca="false">IF(AND(G113="wire_out",MOD(F113,1000)=0,OR(I113="AE",I113="HK",I113="CY",I113="PA")),1,0)</f>
        <v>0</v>
      </c>
      <c r="M113" s="5" t="n">
        <f aca="false">IF(G113="wire_in",IF(SUMPRODUCT(($B$2:$B$191=B113)*($G$2:$G$191="wire_out")*($D$2:$D$191&gt;=D113)*($D$2:$D$191&lt;=D113+1)*($F$2:$F$191&gt;=F113*0.9)*($F$2:$F$191&lt;=F113))&gt;0,1,0),0)</f>
        <v>0</v>
      </c>
      <c r="N113" s="5" t="n">
        <f aca="false">COUNTIFS($B$2:$B$191,B113,$D$2:$D$191,D113)</f>
        <v>1</v>
      </c>
    </row>
    <row r="114" customFormat="false" ht="15" hidden="false" customHeight="false" outlineLevel="0" collapsed="false">
      <c r="A114" s="5" t="n">
        <v>113</v>
      </c>
      <c r="B114" s="5" t="n">
        <v>1090</v>
      </c>
      <c r="C114" s="5" t="s">
        <v>43</v>
      </c>
      <c r="D114" s="7" t="n">
        <v>46196</v>
      </c>
      <c r="E114" s="5" t="s">
        <v>102</v>
      </c>
      <c r="F114" s="8" t="n">
        <v>2943.83</v>
      </c>
      <c r="G114" s="5" t="s">
        <v>71</v>
      </c>
      <c r="H114" s="5" t="s">
        <v>84</v>
      </c>
      <c r="I114" s="5" t="s">
        <v>27</v>
      </c>
      <c r="J114" s="5" t="s">
        <v>85</v>
      </c>
      <c r="K114" s="5" t="n">
        <f aca="false">IF(AND(G114="deposit",J114="branch",F114&gt;=8000,F114&lt;10000),1,0)</f>
        <v>0</v>
      </c>
      <c r="L114" s="5" t="n">
        <f aca="false">IF(AND(G114="wire_out",MOD(F114,1000)=0,OR(I114="AE",I114="HK",I114="CY",I114="PA")),1,0)</f>
        <v>0</v>
      </c>
      <c r="M114" s="5" t="n">
        <f aca="false">IF(G114="wire_in",IF(SUMPRODUCT(($B$2:$B$191=B114)*($G$2:$G$191="wire_out")*($D$2:$D$191&gt;=D114)*($D$2:$D$191&lt;=D114+1)*($F$2:$F$191&gt;=F114*0.9)*($F$2:$F$191&lt;=F114))&gt;0,1,0),0)</f>
        <v>0</v>
      </c>
      <c r="N114" s="5" t="n">
        <f aca="false">COUNTIFS($B$2:$B$191,B114,$D$2:$D$191,D114)</f>
        <v>1</v>
      </c>
    </row>
    <row r="115" customFormat="false" ht="15" hidden="false" customHeight="false" outlineLevel="0" collapsed="false">
      <c r="A115" s="5" t="n">
        <v>114</v>
      </c>
      <c r="B115" s="5" t="n">
        <v>1090</v>
      </c>
      <c r="C115" s="5" t="s">
        <v>43</v>
      </c>
      <c r="D115" s="7" t="n">
        <v>46224</v>
      </c>
      <c r="E115" s="5" t="s">
        <v>102</v>
      </c>
      <c r="F115" s="8" t="n">
        <v>2109.81</v>
      </c>
      <c r="G115" s="5" t="s">
        <v>71</v>
      </c>
      <c r="H115" s="5" t="s">
        <v>84</v>
      </c>
      <c r="I115" s="5" t="s">
        <v>27</v>
      </c>
      <c r="J115" s="5" t="s">
        <v>73</v>
      </c>
      <c r="K115" s="5" t="n">
        <f aca="false">IF(AND(G115="deposit",J115="branch",F115&gt;=8000,F115&lt;10000),1,0)</f>
        <v>0</v>
      </c>
      <c r="L115" s="5" t="n">
        <f aca="false">IF(AND(G115="wire_out",MOD(F115,1000)=0,OR(I115="AE",I115="HK",I115="CY",I115="PA")),1,0)</f>
        <v>0</v>
      </c>
      <c r="M115" s="5" t="n">
        <f aca="false">IF(G115="wire_in",IF(SUMPRODUCT(($B$2:$B$191=B115)*($G$2:$G$191="wire_out")*($D$2:$D$191&gt;=D115)*($D$2:$D$191&lt;=D115+1)*($F$2:$F$191&gt;=F115*0.9)*($F$2:$F$191&lt;=F115))&gt;0,1,0),0)</f>
        <v>0</v>
      </c>
      <c r="N115" s="5" t="n">
        <f aca="false">COUNTIFS($B$2:$B$191,B115,$D$2:$D$191,D115)</f>
        <v>2</v>
      </c>
    </row>
    <row r="116" customFormat="false" ht="15" hidden="false" customHeight="false" outlineLevel="0" collapsed="false">
      <c r="A116" s="5" t="n">
        <v>115</v>
      </c>
      <c r="B116" s="5" t="n">
        <v>1090</v>
      </c>
      <c r="C116" s="5" t="s">
        <v>43</v>
      </c>
      <c r="D116" s="7" t="n">
        <v>46224</v>
      </c>
      <c r="E116" s="5" t="s">
        <v>102</v>
      </c>
      <c r="F116" s="8" t="n">
        <v>954.76</v>
      </c>
      <c r="G116" s="5" t="s">
        <v>64</v>
      </c>
      <c r="H116" s="5" t="s">
        <v>105</v>
      </c>
      <c r="I116" s="5" t="s">
        <v>27</v>
      </c>
      <c r="J116" s="5" t="s">
        <v>66</v>
      </c>
      <c r="K116" s="5" t="n">
        <f aca="false">IF(AND(G116="deposit",J116="branch",F116&gt;=8000,F116&lt;10000),1,0)</f>
        <v>0</v>
      </c>
      <c r="L116" s="5" t="n">
        <f aca="false">IF(AND(G116="wire_out",MOD(F116,1000)=0,OR(I116="AE",I116="HK",I116="CY",I116="PA")),1,0)</f>
        <v>0</v>
      </c>
      <c r="M116" s="5" t="n">
        <f aca="false">IF(G116="wire_in",IF(SUMPRODUCT(($B$2:$B$191=B116)*($G$2:$G$191="wire_out")*($D$2:$D$191&gt;=D116)*($D$2:$D$191&lt;=D116+1)*($F$2:$F$191&gt;=F116*0.9)*($F$2:$F$191&lt;=F116))&gt;0,1,0),0)</f>
        <v>0</v>
      </c>
      <c r="N116" s="5" t="n">
        <f aca="false">COUNTIFS($B$2:$B$191,B116,$D$2:$D$191,D116)</f>
        <v>2</v>
      </c>
    </row>
    <row r="117" customFormat="false" ht="15" hidden="false" customHeight="false" outlineLevel="0" collapsed="false">
      <c r="A117" s="5" t="n">
        <v>116</v>
      </c>
      <c r="B117" s="5" t="n">
        <v>1090</v>
      </c>
      <c r="C117" s="5" t="s">
        <v>43</v>
      </c>
      <c r="D117" s="7" t="n">
        <v>46228</v>
      </c>
      <c r="E117" s="5" t="s">
        <v>102</v>
      </c>
      <c r="F117" s="8" t="n">
        <v>2016.32</v>
      </c>
      <c r="G117" s="5" t="s">
        <v>64</v>
      </c>
      <c r="H117" s="5" t="s">
        <v>104</v>
      </c>
      <c r="I117" s="5" t="s">
        <v>27</v>
      </c>
      <c r="J117" s="5" t="s">
        <v>85</v>
      </c>
      <c r="K117" s="5" t="n">
        <f aca="false">IF(AND(G117="deposit",J117="branch",F117&gt;=8000,F117&lt;10000),1,0)</f>
        <v>0</v>
      </c>
      <c r="L117" s="5" t="n">
        <f aca="false">IF(AND(G117="wire_out",MOD(F117,1000)=0,OR(I117="AE",I117="HK",I117="CY",I117="PA")),1,0)</f>
        <v>0</v>
      </c>
      <c r="M117" s="5" t="n">
        <f aca="false">IF(G117="wire_in",IF(SUMPRODUCT(($B$2:$B$191=B117)*($G$2:$G$191="wire_out")*($D$2:$D$191&gt;=D117)*($D$2:$D$191&lt;=D117+1)*($F$2:$F$191&gt;=F117*0.9)*($F$2:$F$191&lt;=F117))&gt;0,1,0),0)</f>
        <v>0</v>
      </c>
      <c r="N117" s="5" t="n">
        <f aca="false">COUNTIFS($B$2:$B$191,B117,$D$2:$D$191,D117)</f>
        <v>1</v>
      </c>
    </row>
    <row r="118" customFormat="false" ht="15" hidden="false" customHeight="false" outlineLevel="0" collapsed="false">
      <c r="A118" s="5" t="n">
        <v>117</v>
      </c>
      <c r="B118" s="5" t="n">
        <v>1090</v>
      </c>
      <c r="C118" s="5" t="s">
        <v>43</v>
      </c>
      <c r="D118" s="7" t="n">
        <v>46233</v>
      </c>
      <c r="E118" s="5" t="s">
        <v>102</v>
      </c>
      <c r="F118" s="8" t="n">
        <v>2390.13</v>
      </c>
      <c r="G118" s="5" t="s">
        <v>64</v>
      </c>
      <c r="H118" s="5" t="s">
        <v>103</v>
      </c>
      <c r="I118" s="5" t="s">
        <v>27</v>
      </c>
      <c r="J118" s="5" t="s">
        <v>85</v>
      </c>
      <c r="K118" s="5" t="n">
        <f aca="false">IF(AND(G118="deposit",J118="branch",F118&gt;=8000,F118&lt;10000),1,0)</f>
        <v>0</v>
      </c>
      <c r="L118" s="5" t="n">
        <f aca="false">IF(AND(G118="wire_out",MOD(F118,1000)=0,OR(I118="AE",I118="HK",I118="CY",I118="PA")),1,0)</f>
        <v>0</v>
      </c>
      <c r="M118" s="5" t="n">
        <f aca="false">IF(G118="wire_in",IF(SUMPRODUCT(($B$2:$B$191=B118)*($G$2:$G$191="wire_out")*($D$2:$D$191&gt;=D118)*($D$2:$D$191&lt;=D118+1)*($F$2:$F$191&gt;=F118*0.9)*($F$2:$F$191&lt;=F118))&gt;0,1,0),0)</f>
        <v>0</v>
      </c>
      <c r="N118" s="5" t="n">
        <f aca="false">COUNTIFS($B$2:$B$191,B118,$D$2:$D$191,D118)</f>
        <v>1</v>
      </c>
    </row>
    <row r="119" customFormat="false" ht="15" hidden="false" customHeight="false" outlineLevel="0" collapsed="false">
      <c r="A119" s="5" t="n">
        <v>118</v>
      </c>
      <c r="B119" s="5" t="n">
        <v>1090</v>
      </c>
      <c r="C119" s="5" t="s">
        <v>43</v>
      </c>
      <c r="D119" s="7" t="n">
        <v>46247</v>
      </c>
      <c r="E119" s="5" t="s">
        <v>102</v>
      </c>
      <c r="F119" s="8" t="n">
        <v>2911.79</v>
      </c>
      <c r="G119" s="5" t="s">
        <v>64</v>
      </c>
      <c r="H119" s="5" t="s">
        <v>72</v>
      </c>
      <c r="I119" s="5" t="s">
        <v>27</v>
      </c>
      <c r="J119" s="5" t="s">
        <v>73</v>
      </c>
      <c r="K119" s="5" t="n">
        <f aca="false">IF(AND(G119="deposit",J119="branch",F119&gt;=8000,F119&lt;10000),1,0)</f>
        <v>0</v>
      </c>
      <c r="L119" s="5" t="n">
        <f aca="false">IF(AND(G119="wire_out",MOD(F119,1000)=0,OR(I119="AE",I119="HK",I119="CY",I119="PA")),1,0)</f>
        <v>0</v>
      </c>
      <c r="M119" s="5" t="n">
        <f aca="false">IF(G119="wire_in",IF(SUMPRODUCT(($B$2:$B$191=B119)*($G$2:$G$191="wire_out")*($D$2:$D$191&gt;=D119)*($D$2:$D$191&lt;=D119+1)*($F$2:$F$191&gt;=F119*0.9)*($F$2:$F$191&lt;=F119))&gt;0,1,0),0)</f>
        <v>0</v>
      </c>
      <c r="N119" s="5" t="n">
        <f aca="false">COUNTIFS($B$2:$B$191,B119,$D$2:$D$191,D119)</f>
        <v>1</v>
      </c>
    </row>
    <row r="120" customFormat="false" ht="15" hidden="false" customHeight="false" outlineLevel="0" collapsed="false">
      <c r="A120" s="5" t="n">
        <v>119</v>
      </c>
      <c r="B120" s="5" t="n">
        <v>1090</v>
      </c>
      <c r="C120" s="5" t="s">
        <v>43</v>
      </c>
      <c r="D120" s="7" t="n">
        <v>46248</v>
      </c>
      <c r="E120" s="5" t="s">
        <v>102</v>
      </c>
      <c r="F120" s="8" t="n">
        <v>1248.64</v>
      </c>
      <c r="G120" s="5" t="s">
        <v>64</v>
      </c>
      <c r="H120" s="5" t="s">
        <v>104</v>
      </c>
      <c r="I120" s="5" t="s">
        <v>27</v>
      </c>
      <c r="J120" s="5" t="s">
        <v>73</v>
      </c>
      <c r="K120" s="5" t="n">
        <f aca="false">IF(AND(G120="deposit",J120="branch",F120&gt;=8000,F120&lt;10000),1,0)</f>
        <v>0</v>
      </c>
      <c r="L120" s="5" t="n">
        <f aca="false">IF(AND(G120="wire_out",MOD(F120,1000)=0,OR(I120="AE",I120="HK",I120="CY",I120="PA")),1,0)</f>
        <v>0</v>
      </c>
      <c r="M120" s="5" t="n">
        <f aca="false">IF(G120="wire_in",IF(SUMPRODUCT(($B$2:$B$191=B120)*($G$2:$G$191="wire_out")*($D$2:$D$191&gt;=D120)*($D$2:$D$191&lt;=D120+1)*($F$2:$F$191&gt;=F120*0.9)*($F$2:$F$191&lt;=F120))&gt;0,1,0),0)</f>
        <v>0</v>
      </c>
      <c r="N120" s="5" t="n">
        <f aca="false">COUNTIFS($B$2:$B$191,B120,$D$2:$D$191,D120)</f>
        <v>1</v>
      </c>
    </row>
    <row r="121" customFormat="false" ht="15" hidden="false" customHeight="false" outlineLevel="0" collapsed="false">
      <c r="A121" s="5" t="n">
        <v>120</v>
      </c>
      <c r="B121" s="5" t="n">
        <v>1090</v>
      </c>
      <c r="C121" s="5" t="s">
        <v>43</v>
      </c>
      <c r="D121" s="7" t="n">
        <v>46259</v>
      </c>
      <c r="E121" s="5" t="s">
        <v>102</v>
      </c>
      <c r="F121" s="8" t="n">
        <v>2423.4</v>
      </c>
      <c r="G121" s="5" t="s">
        <v>64</v>
      </c>
      <c r="H121" s="5" t="s">
        <v>104</v>
      </c>
      <c r="I121" s="5" t="s">
        <v>27</v>
      </c>
      <c r="J121" s="5" t="s">
        <v>73</v>
      </c>
      <c r="K121" s="5" t="n">
        <f aca="false">IF(AND(G121="deposit",J121="branch",F121&gt;=8000,F121&lt;10000),1,0)</f>
        <v>0</v>
      </c>
      <c r="L121" s="5" t="n">
        <f aca="false">IF(AND(G121="wire_out",MOD(F121,1000)=0,OR(I121="AE",I121="HK",I121="CY",I121="PA")),1,0)</f>
        <v>0</v>
      </c>
      <c r="M121" s="5" t="n">
        <f aca="false">IF(G121="wire_in",IF(SUMPRODUCT(($B$2:$B$191=B121)*($G$2:$G$191="wire_out")*($D$2:$D$191&gt;=D121)*($D$2:$D$191&lt;=D121+1)*($F$2:$F$191&gt;=F121*0.9)*($F$2:$F$191&lt;=F121))&gt;0,1,0),0)</f>
        <v>0</v>
      </c>
      <c r="N121" s="5" t="n">
        <f aca="false">COUNTIFS($B$2:$B$191,B121,$D$2:$D$191,D121)</f>
        <v>1</v>
      </c>
    </row>
    <row r="122" customFormat="false" ht="15" hidden="false" customHeight="false" outlineLevel="0" collapsed="false">
      <c r="A122" s="5" t="n">
        <v>121</v>
      </c>
      <c r="B122" s="5" t="n">
        <v>1090</v>
      </c>
      <c r="C122" s="5" t="s">
        <v>43</v>
      </c>
      <c r="D122" s="7" t="n">
        <v>46270</v>
      </c>
      <c r="E122" s="5" t="s">
        <v>102</v>
      </c>
      <c r="F122" s="8" t="n">
        <v>2324.51</v>
      </c>
      <c r="G122" s="5" t="s">
        <v>71</v>
      </c>
      <c r="H122" s="5" t="s">
        <v>72</v>
      </c>
      <c r="I122" s="5" t="s">
        <v>27</v>
      </c>
      <c r="J122" s="5" t="s">
        <v>73</v>
      </c>
      <c r="K122" s="5" t="n">
        <f aca="false">IF(AND(G122="deposit",J122="branch",F122&gt;=8000,F122&lt;10000),1,0)</f>
        <v>0</v>
      </c>
      <c r="L122" s="5" t="n">
        <f aca="false">IF(AND(G122="wire_out",MOD(F122,1000)=0,OR(I122="AE",I122="HK",I122="CY",I122="PA")),1,0)</f>
        <v>0</v>
      </c>
      <c r="M122" s="5" t="n">
        <f aca="false">IF(G122="wire_in",IF(SUMPRODUCT(($B$2:$B$191=B122)*($G$2:$G$191="wire_out")*($D$2:$D$191&gt;=D122)*($D$2:$D$191&lt;=D122+1)*($F$2:$F$191&gt;=F122*0.9)*($F$2:$F$191&lt;=F122))&gt;0,1,0),0)</f>
        <v>0</v>
      </c>
      <c r="N122" s="5" t="n">
        <f aca="false">COUNTIFS($B$2:$B$191,B122,$D$2:$D$191,D122)</f>
        <v>1</v>
      </c>
    </row>
    <row r="123" customFormat="false" ht="15" hidden="false" customHeight="false" outlineLevel="0" collapsed="false">
      <c r="A123" s="5" t="n">
        <v>122</v>
      </c>
      <c r="B123" s="5" t="n">
        <v>1100</v>
      </c>
      <c r="C123" s="5" t="s">
        <v>45</v>
      </c>
      <c r="D123" s="7" t="n">
        <v>46034</v>
      </c>
      <c r="E123" s="5" t="s">
        <v>102</v>
      </c>
      <c r="F123" s="8" t="n">
        <v>749.63</v>
      </c>
      <c r="G123" s="5" t="s">
        <v>71</v>
      </c>
      <c r="H123" s="5" t="s">
        <v>72</v>
      </c>
      <c r="I123" s="5" t="s">
        <v>27</v>
      </c>
      <c r="J123" s="5" t="s">
        <v>85</v>
      </c>
      <c r="K123" s="5" t="n">
        <f aca="false">IF(AND(G123="deposit",J123="branch",F123&gt;=8000,F123&lt;10000),1,0)</f>
        <v>0</v>
      </c>
      <c r="L123" s="5" t="n">
        <f aca="false">IF(AND(G123="wire_out",MOD(F123,1000)=0,OR(I123="AE",I123="HK",I123="CY",I123="PA")),1,0)</f>
        <v>0</v>
      </c>
      <c r="M123" s="5" t="n">
        <f aca="false">IF(G123="wire_in",IF(SUMPRODUCT(($B$2:$B$191=B123)*($G$2:$G$191="wire_out")*($D$2:$D$191&gt;=D123)*($D$2:$D$191&lt;=D123+1)*($F$2:$F$191&gt;=F123*0.9)*($F$2:$F$191&lt;=F123))&gt;0,1,0),0)</f>
        <v>0</v>
      </c>
      <c r="N123" s="5" t="n">
        <f aca="false">COUNTIFS($B$2:$B$191,B123,$D$2:$D$191,D123)</f>
        <v>1</v>
      </c>
    </row>
    <row r="124" customFormat="false" ht="15" hidden="false" customHeight="false" outlineLevel="0" collapsed="false">
      <c r="A124" s="5" t="n">
        <v>123</v>
      </c>
      <c r="B124" s="5" t="n">
        <v>1100</v>
      </c>
      <c r="C124" s="5" t="s">
        <v>45</v>
      </c>
      <c r="D124" s="7" t="n">
        <v>46043</v>
      </c>
      <c r="E124" s="5" t="s">
        <v>102</v>
      </c>
      <c r="F124" s="8" t="n">
        <v>432.35</v>
      </c>
      <c r="G124" s="5" t="s">
        <v>64</v>
      </c>
      <c r="H124" s="5" t="s">
        <v>105</v>
      </c>
      <c r="I124" s="5" t="s">
        <v>27</v>
      </c>
      <c r="J124" s="5" t="s">
        <v>66</v>
      </c>
      <c r="K124" s="5" t="n">
        <f aca="false">IF(AND(G124="deposit",J124="branch",F124&gt;=8000,F124&lt;10000),1,0)</f>
        <v>0</v>
      </c>
      <c r="L124" s="5" t="n">
        <f aca="false">IF(AND(G124="wire_out",MOD(F124,1000)=0,OR(I124="AE",I124="HK",I124="CY",I124="PA")),1,0)</f>
        <v>0</v>
      </c>
      <c r="M124" s="5" t="n">
        <f aca="false">IF(G124="wire_in",IF(SUMPRODUCT(($B$2:$B$191=B124)*($G$2:$G$191="wire_out")*($D$2:$D$191&gt;=D124)*($D$2:$D$191&lt;=D124+1)*($F$2:$F$191&gt;=F124*0.9)*($F$2:$F$191&lt;=F124))&gt;0,1,0),0)</f>
        <v>0</v>
      </c>
      <c r="N124" s="5" t="n">
        <f aca="false">COUNTIFS($B$2:$B$191,B124,$D$2:$D$191,D124)</f>
        <v>1</v>
      </c>
    </row>
    <row r="125" customFormat="false" ht="15" hidden="false" customHeight="false" outlineLevel="0" collapsed="false">
      <c r="A125" s="5" t="n">
        <v>124</v>
      </c>
      <c r="B125" s="5" t="n">
        <v>1100</v>
      </c>
      <c r="C125" s="5" t="s">
        <v>45</v>
      </c>
      <c r="D125" s="7" t="n">
        <v>46044</v>
      </c>
      <c r="E125" s="5" t="s">
        <v>102</v>
      </c>
      <c r="F125" s="8" t="n">
        <v>865.68</v>
      </c>
      <c r="G125" s="5" t="s">
        <v>71</v>
      </c>
      <c r="H125" s="5" t="s">
        <v>84</v>
      </c>
      <c r="I125" s="5" t="s">
        <v>27</v>
      </c>
      <c r="J125" s="5" t="s">
        <v>85</v>
      </c>
      <c r="K125" s="5" t="n">
        <f aca="false">IF(AND(G125="deposit",J125="branch",F125&gt;=8000,F125&lt;10000),1,0)</f>
        <v>0</v>
      </c>
      <c r="L125" s="5" t="n">
        <f aca="false">IF(AND(G125="wire_out",MOD(F125,1000)=0,OR(I125="AE",I125="HK",I125="CY",I125="PA")),1,0)</f>
        <v>0</v>
      </c>
      <c r="M125" s="5" t="n">
        <f aca="false">IF(G125="wire_in",IF(SUMPRODUCT(($B$2:$B$191=B125)*($G$2:$G$191="wire_out")*($D$2:$D$191&gt;=D125)*($D$2:$D$191&lt;=D125+1)*($F$2:$F$191&gt;=F125*0.9)*($F$2:$F$191&lt;=F125))&gt;0,1,0),0)</f>
        <v>0</v>
      </c>
      <c r="N125" s="5" t="n">
        <f aca="false">COUNTIFS($B$2:$B$191,B125,$D$2:$D$191,D125)</f>
        <v>1</v>
      </c>
    </row>
    <row r="126" customFormat="false" ht="15" hidden="false" customHeight="false" outlineLevel="0" collapsed="false">
      <c r="A126" s="5" t="n">
        <v>125</v>
      </c>
      <c r="B126" s="5" t="n">
        <v>1100</v>
      </c>
      <c r="C126" s="5" t="s">
        <v>45</v>
      </c>
      <c r="D126" s="7" t="n">
        <v>46062</v>
      </c>
      <c r="E126" s="5" t="s">
        <v>102</v>
      </c>
      <c r="F126" s="8" t="n">
        <v>2125.13</v>
      </c>
      <c r="G126" s="5" t="s">
        <v>64</v>
      </c>
      <c r="H126" s="5" t="s">
        <v>105</v>
      </c>
      <c r="I126" s="5" t="s">
        <v>27</v>
      </c>
      <c r="J126" s="5" t="s">
        <v>73</v>
      </c>
      <c r="K126" s="5" t="n">
        <f aca="false">IF(AND(G126="deposit",J126="branch",F126&gt;=8000,F126&lt;10000),1,0)</f>
        <v>0</v>
      </c>
      <c r="L126" s="5" t="n">
        <f aca="false">IF(AND(G126="wire_out",MOD(F126,1000)=0,OR(I126="AE",I126="HK",I126="CY",I126="PA")),1,0)</f>
        <v>0</v>
      </c>
      <c r="M126" s="5" t="n">
        <f aca="false">IF(G126="wire_in",IF(SUMPRODUCT(($B$2:$B$191=B126)*($G$2:$G$191="wire_out")*($D$2:$D$191&gt;=D126)*($D$2:$D$191&lt;=D126+1)*($F$2:$F$191&gt;=F126*0.9)*($F$2:$F$191&lt;=F126))&gt;0,1,0),0)</f>
        <v>0</v>
      </c>
      <c r="N126" s="5" t="n">
        <f aca="false">COUNTIFS($B$2:$B$191,B126,$D$2:$D$191,D126)</f>
        <v>1</v>
      </c>
    </row>
    <row r="127" customFormat="false" ht="15" hidden="false" customHeight="false" outlineLevel="0" collapsed="false">
      <c r="A127" s="5" t="n">
        <v>126</v>
      </c>
      <c r="B127" s="5" t="n">
        <v>1100</v>
      </c>
      <c r="C127" s="5" t="s">
        <v>45</v>
      </c>
      <c r="D127" s="7" t="n">
        <v>46076</v>
      </c>
      <c r="E127" s="5" t="s">
        <v>102</v>
      </c>
      <c r="F127" s="8" t="n">
        <v>1301.07</v>
      </c>
      <c r="G127" s="5" t="s">
        <v>71</v>
      </c>
      <c r="H127" s="5" t="s">
        <v>105</v>
      </c>
      <c r="I127" s="5" t="s">
        <v>27</v>
      </c>
      <c r="J127" s="5" t="s">
        <v>73</v>
      </c>
      <c r="K127" s="5" t="n">
        <f aca="false">IF(AND(G127="deposit",J127="branch",F127&gt;=8000,F127&lt;10000),1,0)</f>
        <v>0</v>
      </c>
      <c r="L127" s="5" t="n">
        <f aca="false">IF(AND(G127="wire_out",MOD(F127,1000)=0,OR(I127="AE",I127="HK",I127="CY",I127="PA")),1,0)</f>
        <v>0</v>
      </c>
      <c r="M127" s="5" t="n">
        <f aca="false">IF(G127="wire_in",IF(SUMPRODUCT(($B$2:$B$191=B127)*($G$2:$G$191="wire_out")*($D$2:$D$191&gt;=D127)*($D$2:$D$191&lt;=D127+1)*($F$2:$F$191&gt;=F127*0.9)*($F$2:$F$191&lt;=F127))&gt;0,1,0),0)</f>
        <v>0</v>
      </c>
      <c r="N127" s="5" t="n">
        <f aca="false">COUNTIFS($B$2:$B$191,B127,$D$2:$D$191,D127)</f>
        <v>1</v>
      </c>
    </row>
    <row r="128" customFormat="false" ht="15" hidden="false" customHeight="false" outlineLevel="0" collapsed="false">
      <c r="A128" s="5" t="n">
        <v>127</v>
      </c>
      <c r="B128" s="5" t="n">
        <v>1100</v>
      </c>
      <c r="C128" s="5" t="s">
        <v>45</v>
      </c>
      <c r="D128" s="7" t="n">
        <v>46079</v>
      </c>
      <c r="E128" s="5" t="s">
        <v>102</v>
      </c>
      <c r="F128" s="8" t="n">
        <v>544.14</v>
      </c>
      <c r="G128" s="5" t="s">
        <v>71</v>
      </c>
      <c r="H128" s="5" t="s">
        <v>84</v>
      </c>
      <c r="I128" s="5" t="s">
        <v>27</v>
      </c>
      <c r="J128" s="5" t="s">
        <v>66</v>
      </c>
      <c r="K128" s="5" t="n">
        <f aca="false">IF(AND(G128="deposit",J128="branch",F128&gt;=8000,F128&lt;10000),1,0)</f>
        <v>0</v>
      </c>
      <c r="L128" s="5" t="n">
        <f aca="false">IF(AND(G128="wire_out",MOD(F128,1000)=0,OR(I128="AE",I128="HK",I128="CY",I128="PA")),1,0)</f>
        <v>0</v>
      </c>
      <c r="M128" s="5" t="n">
        <f aca="false">IF(G128="wire_in",IF(SUMPRODUCT(($B$2:$B$191=B128)*($G$2:$G$191="wire_out")*($D$2:$D$191&gt;=D128)*($D$2:$D$191&lt;=D128+1)*($F$2:$F$191&gt;=F128*0.9)*($F$2:$F$191&lt;=F128))&gt;0,1,0),0)</f>
        <v>0</v>
      </c>
      <c r="N128" s="5" t="n">
        <f aca="false">COUNTIFS($B$2:$B$191,B128,$D$2:$D$191,D128)</f>
        <v>1</v>
      </c>
    </row>
    <row r="129" customFormat="false" ht="15" hidden="false" customHeight="false" outlineLevel="0" collapsed="false">
      <c r="A129" s="5" t="n">
        <v>128</v>
      </c>
      <c r="B129" s="5" t="n">
        <v>1100</v>
      </c>
      <c r="C129" s="5" t="s">
        <v>45</v>
      </c>
      <c r="D129" s="7" t="n">
        <v>46086</v>
      </c>
      <c r="E129" s="5" t="s">
        <v>102</v>
      </c>
      <c r="F129" s="8" t="n">
        <v>2754.06</v>
      </c>
      <c r="G129" s="5" t="s">
        <v>64</v>
      </c>
      <c r="H129" s="5" t="s">
        <v>105</v>
      </c>
      <c r="I129" s="5" t="s">
        <v>27</v>
      </c>
      <c r="J129" s="5" t="s">
        <v>85</v>
      </c>
      <c r="K129" s="5" t="n">
        <f aca="false">IF(AND(G129="deposit",J129="branch",F129&gt;=8000,F129&lt;10000),1,0)</f>
        <v>0</v>
      </c>
      <c r="L129" s="5" t="n">
        <f aca="false">IF(AND(G129="wire_out",MOD(F129,1000)=0,OR(I129="AE",I129="HK",I129="CY",I129="PA")),1,0)</f>
        <v>0</v>
      </c>
      <c r="M129" s="5" t="n">
        <f aca="false">IF(G129="wire_in",IF(SUMPRODUCT(($B$2:$B$191=B129)*($G$2:$G$191="wire_out")*($D$2:$D$191&gt;=D129)*($D$2:$D$191&lt;=D129+1)*($F$2:$F$191&gt;=F129*0.9)*($F$2:$F$191&lt;=F129))&gt;0,1,0),0)</f>
        <v>0</v>
      </c>
      <c r="N129" s="5" t="n">
        <f aca="false">COUNTIFS($B$2:$B$191,B129,$D$2:$D$191,D129)</f>
        <v>1</v>
      </c>
    </row>
    <row r="130" customFormat="false" ht="15" hidden="false" customHeight="false" outlineLevel="0" collapsed="false">
      <c r="A130" s="5" t="n">
        <v>129</v>
      </c>
      <c r="B130" s="5" t="n">
        <v>1100</v>
      </c>
      <c r="C130" s="5" t="s">
        <v>45</v>
      </c>
      <c r="D130" s="7" t="n">
        <v>46092</v>
      </c>
      <c r="E130" s="5" t="s">
        <v>102</v>
      </c>
      <c r="F130" s="8" t="n">
        <v>1318.79</v>
      </c>
      <c r="G130" s="5" t="s">
        <v>64</v>
      </c>
      <c r="H130" s="5" t="s">
        <v>105</v>
      </c>
      <c r="I130" s="5" t="s">
        <v>27</v>
      </c>
      <c r="J130" s="5" t="s">
        <v>73</v>
      </c>
      <c r="K130" s="5" t="n">
        <f aca="false">IF(AND(G130="deposit",J130="branch",F130&gt;=8000,F130&lt;10000),1,0)</f>
        <v>0</v>
      </c>
      <c r="L130" s="5" t="n">
        <f aca="false">IF(AND(G130="wire_out",MOD(F130,1000)=0,OR(I130="AE",I130="HK",I130="CY",I130="PA")),1,0)</f>
        <v>0</v>
      </c>
      <c r="M130" s="5" t="n">
        <f aca="false">IF(G130="wire_in",IF(SUMPRODUCT(($B$2:$B$191=B130)*($G$2:$G$191="wire_out")*($D$2:$D$191&gt;=D130)*($D$2:$D$191&lt;=D130+1)*($F$2:$F$191&gt;=F130*0.9)*($F$2:$F$191&lt;=F130))&gt;0,1,0),0)</f>
        <v>0</v>
      </c>
      <c r="N130" s="5" t="n">
        <f aca="false">COUNTIFS($B$2:$B$191,B130,$D$2:$D$191,D130)</f>
        <v>1</v>
      </c>
    </row>
    <row r="131" customFormat="false" ht="15" hidden="false" customHeight="false" outlineLevel="0" collapsed="false">
      <c r="A131" s="5" t="n">
        <v>130</v>
      </c>
      <c r="B131" s="5" t="n">
        <v>1100</v>
      </c>
      <c r="C131" s="5" t="s">
        <v>45</v>
      </c>
      <c r="D131" s="7" t="n">
        <v>46096</v>
      </c>
      <c r="E131" s="5" t="s">
        <v>102</v>
      </c>
      <c r="F131" s="8" t="n">
        <v>718.79</v>
      </c>
      <c r="G131" s="5" t="s">
        <v>71</v>
      </c>
      <c r="H131" s="5" t="s">
        <v>104</v>
      </c>
      <c r="I131" s="5" t="s">
        <v>27</v>
      </c>
      <c r="J131" s="5" t="s">
        <v>66</v>
      </c>
      <c r="K131" s="5" t="n">
        <f aca="false">IF(AND(G131="deposit",J131="branch",F131&gt;=8000,F131&lt;10000),1,0)</f>
        <v>0</v>
      </c>
      <c r="L131" s="5" t="n">
        <f aca="false">IF(AND(G131="wire_out",MOD(F131,1000)=0,OR(I131="AE",I131="HK",I131="CY",I131="PA")),1,0)</f>
        <v>0</v>
      </c>
      <c r="M131" s="5" t="n">
        <f aca="false">IF(G131="wire_in",IF(SUMPRODUCT(($B$2:$B$191=B131)*($G$2:$G$191="wire_out")*($D$2:$D$191&gt;=D131)*($D$2:$D$191&lt;=D131+1)*($F$2:$F$191&gt;=F131*0.9)*($F$2:$F$191&lt;=F131))&gt;0,1,0),0)</f>
        <v>0</v>
      </c>
      <c r="N131" s="5" t="n">
        <f aca="false">COUNTIFS($B$2:$B$191,B131,$D$2:$D$191,D131)</f>
        <v>1</v>
      </c>
    </row>
    <row r="132" customFormat="false" ht="15" hidden="false" customHeight="false" outlineLevel="0" collapsed="false">
      <c r="A132" s="5" t="n">
        <v>131</v>
      </c>
      <c r="B132" s="5" t="n">
        <v>1100</v>
      </c>
      <c r="C132" s="5" t="s">
        <v>45</v>
      </c>
      <c r="D132" s="7" t="n">
        <v>46100</v>
      </c>
      <c r="E132" s="5" t="s">
        <v>102</v>
      </c>
      <c r="F132" s="8" t="n">
        <v>1230.1</v>
      </c>
      <c r="G132" s="5" t="s">
        <v>64</v>
      </c>
      <c r="H132" s="5" t="s">
        <v>104</v>
      </c>
      <c r="I132" s="5" t="s">
        <v>27</v>
      </c>
      <c r="J132" s="5" t="s">
        <v>73</v>
      </c>
      <c r="K132" s="5" t="n">
        <f aca="false">IF(AND(G132="deposit",J132="branch",F132&gt;=8000,F132&lt;10000),1,0)</f>
        <v>0</v>
      </c>
      <c r="L132" s="5" t="n">
        <f aca="false">IF(AND(G132="wire_out",MOD(F132,1000)=0,OR(I132="AE",I132="HK",I132="CY",I132="PA")),1,0)</f>
        <v>0</v>
      </c>
      <c r="M132" s="5" t="n">
        <f aca="false">IF(G132="wire_in",IF(SUMPRODUCT(($B$2:$B$191=B132)*($G$2:$G$191="wire_out")*($D$2:$D$191&gt;=D132)*($D$2:$D$191&lt;=D132+1)*($F$2:$F$191&gt;=F132*0.9)*($F$2:$F$191&lt;=F132))&gt;0,1,0),0)</f>
        <v>0</v>
      </c>
      <c r="N132" s="5" t="n">
        <f aca="false">COUNTIFS($B$2:$B$191,B132,$D$2:$D$191,D132)</f>
        <v>1</v>
      </c>
    </row>
    <row r="133" customFormat="false" ht="15" hidden="false" customHeight="false" outlineLevel="0" collapsed="false">
      <c r="A133" s="5" t="n">
        <v>132</v>
      </c>
      <c r="B133" s="5" t="n">
        <v>1100</v>
      </c>
      <c r="C133" s="5" t="s">
        <v>45</v>
      </c>
      <c r="D133" s="7" t="n">
        <v>46107</v>
      </c>
      <c r="E133" s="5" t="s">
        <v>102</v>
      </c>
      <c r="F133" s="8" t="n">
        <v>1636.98</v>
      </c>
      <c r="G133" s="5" t="s">
        <v>71</v>
      </c>
      <c r="H133" s="5" t="s">
        <v>84</v>
      </c>
      <c r="I133" s="5" t="s">
        <v>27</v>
      </c>
      <c r="J133" s="5" t="s">
        <v>85</v>
      </c>
      <c r="K133" s="5" t="n">
        <f aca="false">IF(AND(G133="deposit",J133="branch",F133&gt;=8000,F133&lt;10000),1,0)</f>
        <v>0</v>
      </c>
      <c r="L133" s="5" t="n">
        <f aca="false">IF(AND(G133="wire_out",MOD(F133,1000)=0,OR(I133="AE",I133="HK",I133="CY",I133="PA")),1,0)</f>
        <v>0</v>
      </c>
      <c r="M133" s="5" t="n">
        <f aca="false">IF(G133="wire_in",IF(SUMPRODUCT(($B$2:$B$191=B133)*($G$2:$G$191="wire_out")*($D$2:$D$191&gt;=D133)*($D$2:$D$191&lt;=D133+1)*($F$2:$F$191&gt;=F133*0.9)*($F$2:$F$191&lt;=F133))&gt;0,1,0),0)</f>
        <v>0</v>
      </c>
      <c r="N133" s="5" t="n">
        <f aca="false">COUNTIFS($B$2:$B$191,B133,$D$2:$D$191,D133)</f>
        <v>1</v>
      </c>
    </row>
    <row r="134" customFormat="false" ht="15" hidden="false" customHeight="false" outlineLevel="0" collapsed="false">
      <c r="A134" s="5" t="n">
        <v>133</v>
      </c>
      <c r="B134" s="5" t="n">
        <v>1100</v>
      </c>
      <c r="C134" s="5" t="s">
        <v>45</v>
      </c>
      <c r="D134" s="7" t="n">
        <v>46125</v>
      </c>
      <c r="E134" s="5" t="s">
        <v>102</v>
      </c>
      <c r="F134" s="8" t="n">
        <v>747.07</v>
      </c>
      <c r="G134" s="5" t="s">
        <v>64</v>
      </c>
      <c r="H134" s="5" t="s">
        <v>84</v>
      </c>
      <c r="I134" s="5" t="s">
        <v>27</v>
      </c>
      <c r="J134" s="5" t="s">
        <v>73</v>
      </c>
      <c r="K134" s="5" t="n">
        <f aca="false">IF(AND(G134="deposit",J134="branch",F134&gt;=8000,F134&lt;10000),1,0)</f>
        <v>0</v>
      </c>
      <c r="L134" s="5" t="n">
        <f aca="false">IF(AND(G134="wire_out",MOD(F134,1000)=0,OR(I134="AE",I134="HK",I134="CY",I134="PA")),1,0)</f>
        <v>0</v>
      </c>
      <c r="M134" s="5" t="n">
        <f aca="false">IF(G134="wire_in",IF(SUMPRODUCT(($B$2:$B$191=B134)*($G$2:$G$191="wire_out")*($D$2:$D$191&gt;=D134)*($D$2:$D$191&lt;=D134+1)*($F$2:$F$191&gt;=F134*0.9)*($F$2:$F$191&lt;=F134))&gt;0,1,0),0)</f>
        <v>0</v>
      </c>
      <c r="N134" s="5" t="n">
        <f aca="false">COUNTIFS($B$2:$B$191,B134,$D$2:$D$191,D134)</f>
        <v>1</v>
      </c>
    </row>
    <row r="135" customFormat="false" ht="15" hidden="false" customHeight="false" outlineLevel="0" collapsed="false">
      <c r="A135" s="5" t="n">
        <v>134</v>
      </c>
      <c r="B135" s="5" t="n">
        <v>1100</v>
      </c>
      <c r="C135" s="5" t="s">
        <v>45</v>
      </c>
      <c r="D135" s="7" t="n">
        <v>46136</v>
      </c>
      <c r="E135" s="5" t="s">
        <v>102</v>
      </c>
      <c r="F135" s="8" t="n">
        <v>2033.37</v>
      </c>
      <c r="G135" s="5" t="s">
        <v>71</v>
      </c>
      <c r="H135" s="5" t="s">
        <v>103</v>
      </c>
      <c r="I135" s="5" t="s">
        <v>27</v>
      </c>
      <c r="J135" s="5" t="s">
        <v>66</v>
      </c>
      <c r="K135" s="5" t="n">
        <f aca="false">IF(AND(G135="deposit",J135="branch",F135&gt;=8000,F135&lt;10000),1,0)</f>
        <v>0</v>
      </c>
      <c r="L135" s="5" t="n">
        <f aca="false">IF(AND(G135="wire_out",MOD(F135,1000)=0,OR(I135="AE",I135="HK",I135="CY",I135="PA")),1,0)</f>
        <v>0</v>
      </c>
      <c r="M135" s="5" t="n">
        <f aca="false">IF(G135="wire_in",IF(SUMPRODUCT(($B$2:$B$191=B135)*($G$2:$G$191="wire_out")*($D$2:$D$191&gt;=D135)*($D$2:$D$191&lt;=D135+1)*($F$2:$F$191&gt;=F135*0.9)*($F$2:$F$191&lt;=F135))&gt;0,1,0),0)</f>
        <v>0</v>
      </c>
      <c r="N135" s="5" t="n">
        <f aca="false">COUNTIFS($B$2:$B$191,B135,$D$2:$D$191,D135)</f>
        <v>1</v>
      </c>
    </row>
    <row r="136" customFormat="false" ht="15" hidden="false" customHeight="false" outlineLevel="0" collapsed="false">
      <c r="A136" s="5" t="n">
        <v>135</v>
      </c>
      <c r="B136" s="5" t="n">
        <v>1100</v>
      </c>
      <c r="C136" s="5" t="s">
        <v>45</v>
      </c>
      <c r="D136" s="7" t="n">
        <v>46139</v>
      </c>
      <c r="E136" s="5" t="s">
        <v>102</v>
      </c>
      <c r="F136" s="8" t="n">
        <v>1255.03</v>
      </c>
      <c r="G136" s="5" t="s">
        <v>64</v>
      </c>
      <c r="H136" s="5" t="s">
        <v>105</v>
      </c>
      <c r="I136" s="5" t="s">
        <v>27</v>
      </c>
      <c r="J136" s="5" t="s">
        <v>73</v>
      </c>
      <c r="K136" s="5" t="n">
        <f aca="false">IF(AND(G136="deposit",J136="branch",F136&gt;=8000,F136&lt;10000),1,0)</f>
        <v>0</v>
      </c>
      <c r="L136" s="5" t="n">
        <f aca="false">IF(AND(G136="wire_out",MOD(F136,1000)=0,OR(I136="AE",I136="HK",I136="CY",I136="PA")),1,0)</f>
        <v>0</v>
      </c>
      <c r="M136" s="5" t="n">
        <f aca="false">IF(G136="wire_in",IF(SUMPRODUCT(($B$2:$B$191=B136)*($G$2:$G$191="wire_out")*($D$2:$D$191&gt;=D136)*($D$2:$D$191&lt;=D136+1)*($F$2:$F$191&gt;=F136*0.9)*($F$2:$F$191&lt;=F136))&gt;0,1,0),0)</f>
        <v>0</v>
      </c>
      <c r="N136" s="5" t="n">
        <f aca="false">COUNTIFS($B$2:$B$191,B136,$D$2:$D$191,D136)</f>
        <v>1</v>
      </c>
    </row>
    <row r="137" customFormat="false" ht="15" hidden="false" customHeight="false" outlineLevel="0" collapsed="false">
      <c r="A137" s="5" t="n">
        <v>136</v>
      </c>
      <c r="B137" s="5" t="n">
        <v>1100</v>
      </c>
      <c r="C137" s="5" t="s">
        <v>45</v>
      </c>
      <c r="D137" s="7" t="n">
        <v>46145</v>
      </c>
      <c r="E137" s="5" t="s">
        <v>102</v>
      </c>
      <c r="F137" s="8" t="n">
        <v>37.57</v>
      </c>
      <c r="G137" s="5" t="s">
        <v>71</v>
      </c>
      <c r="H137" s="5" t="s">
        <v>104</v>
      </c>
      <c r="I137" s="5" t="s">
        <v>27</v>
      </c>
      <c r="J137" s="5" t="s">
        <v>73</v>
      </c>
      <c r="K137" s="5" t="n">
        <f aca="false">IF(AND(G137="deposit",J137="branch",F137&gt;=8000,F137&lt;10000),1,0)</f>
        <v>0</v>
      </c>
      <c r="L137" s="5" t="n">
        <f aca="false">IF(AND(G137="wire_out",MOD(F137,1000)=0,OR(I137="AE",I137="HK",I137="CY",I137="PA")),1,0)</f>
        <v>0</v>
      </c>
      <c r="M137" s="5" t="n">
        <f aca="false">IF(G137="wire_in",IF(SUMPRODUCT(($B$2:$B$191=B137)*($G$2:$G$191="wire_out")*($D$2:$D$191&gt;=D137)*($D$2:$D$191&lt;=D137+1)*($F$2:$F$191&gt;=F137*0.9)*($F$2:$F$191&lt;=F137))&gt;0,1,0),0)</f>
        <v>0</v>
      </c>
      <c r="N137" s="5" t="n">
        <f aca="false">COUNTIFS($B$2:$B$191,B137,$D$2:$D$191,D137)</f>
        <v>1</v>
      </c>
    </row>
    <row r="138" customFormat="false" ht="15" hidden="false" customHeight="false" outlineLevel="0" collapsed="false">
      <c r="A138" s="5" t="n">
        <v>137</v>
      </c>
      <c r="B138" s="5" t="n">
        <v>1100</v>
      </c>
      <c r="C138" s="5" t="s">
        <v>45</v>
      </c>
      <c r="D138" s="7" t="n">
        <v>46183</v>
      </c>
      <c r="E138" s="5" t="s">
        <v>102</v>
      </c>
      <c r="F138" s="8" t="n">
        <v>732.95</v>
      </c>
      <c r="G138" s="5" t="s">
        <v>71</v>
      </c>
      <c r="H138" s="5" t="s">
        <v>84</v>
      </c>
      <c r="I138" s="5" t="s">
        <v>27</v>
      </c>
      <c r="J138" s="5" t="s">
        <v>66</v>
      </c>
      <c r="K138" s="5" t="n">
        <f aca="false">IF(AND(G138="deposit",J138="branch",F138&gt;=8000,F138&lt;10000),1,0)</f>
        <v>0</v>
      </c>
      <c r="L138" s="5" t="n">
        <f aca="false">IF(AND(G138="wire_out",MOD(F138,1000)=0,OR(I138="AE",I138="HK",I138="CY",I138="PA")),1,0)</f>
        <v>0</v>
      </c>
      <c r="M138" s="5" t="n">
        <f aca="false">IF(G138="wire_in",IF(SUMPRODUCT(($B$2:$B$191=B138)*($G$2:$G$191="wire_out")*($D$2:$D$191&gt;=D138)*($D$2:$D$191&lt;=D138+1)*($F$2:$F$191&gt;=F138*0.9)*($F$2:$F$191&lt;=F138))&gt;0,1,0),0)</f>
        <v>0</v>
      </c>
      <c r="N138" s="5" t="n">
        <f aca="false">COUNTIFS($B$2:$B$191,B138,$D$2:$D$191,D138)</f>
        <v>1</v>
      </c>
    </row>
    <row r="139" customFormat="false" ht="15" hidden="false" customHeight="false" outlineLevel="0" collapsed="false">
      <c r="A139" s="5" t="n">
        <v>138</v>
      </c>
      <c r="B139" s="5" t="n">
        <v>1100</v>
      </c>
      <c r="C139" s="5" t="s">
        <v>45</v>
      </c>
      <c r="D139" s="7" t="n">
        <v>46195</v>
      </c>
      <c r="E139" s="5" t="s">
        <v>102</v>
      </c>
      <c r="F139" s="8" t="n">
        <v>945.05</v>
      </c>
      <c r="G139" s="5" t="s">
        <v>64</v>
      </c>
      <c r="H139" s="5" t="s">
        <v>103</v>
      </c>
      <c r="I139" s="5" t="s">
        <v>27</v>
      </c>
      <c r="J139" s="5" t="s">
        <v>85</v>
      </c>
      <c r="K139" s="5" t="n">
        <f aca="false">IF(AND(G139="deposit",J139="branch",F139&gt;=8000,F139&lt;10000),1,0)</f>
        <v>0</v>
      </c>
      <c r="L139" s="5" t="n">
        <f aca="false">IF(AND(G139="wire_out",MOD(F139,1000)=0,OR(I139="AE",I139="HK",I139="CY",I139="PA")),1,0)</f>
        <v>0</v>
      </c>
      <c r="M139" s="5" t="n">
        <f aca="false">IF(G139="wire_in",IF(SUMPRODUCT(($B$2:$B$191=B139)*($G$2:$G$191="wire_out")*($D$2:$D$191&gt;=D139)*($D$2:$D$191&lt;=D139+1)*($F$2:$F$191&gt;=F139*0.9)*($F$2:$F$191&lt;=F139))&gt;0,1,0),0)</f>
        <v>0</v>
      </c>
      <c r="N139" s="5" t="n">
        <f aca="false">COUNTIFS($B$2:$B$191,B139,$D$2:$D$191,D139)</f>
        <v>1</v>
      </c>
    </row>
    <row r="140" customFormat="false" ht="15" hidden="false" customHeight="false" outlineLevel="0" collapsed="false">
      <c r="A140" s="5" t="n">
        <v>139</v>
      </c>
      <c r="B140" s="5" t="n">
        <v>1100</v>
      </c>
      <c r="C140" s="5" t="s">
        <v>45</v>
      </c>
      <c r="D140" s="7" t="n">
        <v>46211</v>
      </c>
      <c r="E140" s="5" t="s">
        <v>102</v>
      </c>
      <c r="F140" s="8" t="n">
        <v>1647.47</v>
      </c>
      <c r="G140" s="5" t="s">
        <v>64</v>
      </c>
      <c r="H140" s="5" t="s">
        <v>105</v>
      </c>
      <c r="I140" s="5" t="s">
        <v>27</v>
      </c>
      <c r="J140" s="5" t="s">
        <v>85</v>
      </c>
      <c r="K140" s="5" t="n">
        <f aca="false">IF(AND(G140="deposit",J140="branch",F140&gt;=8000,F140&lt;10000),1,0)</f>
        <v>0</v>
      </c>
      <c r="L140" s="5" t="n">
        <f aca="false">IF(AND(G140="wire_out",MOD(F140,1000)=0,OR(I140="AE",I140="HK",I140="CY",I140="PA")),1,0)</f>
        <v>0</v>
      </c>
      <c r="M140" s="5" t="n">
        <f aca="false">IF(G140="wire_in",IF(SUMPRODUCT(($B$2:$B$191=B140)*($G$2:$G$191="wire_out")*($D$2:$D$191&gt;=D140)*($D$2:$D$191&lt;=D140+1)*($F$2:$F$191&gt;=F140*0.9)*($F$2:$F$191&lt;=F140))&gt;0,1,0),0)</f>
        <v>0</v>
      </c>
      <c r="N140" s="5" t="n">
        <f aca="false">COUNTIFS($B$2:$B$191,B140,$D$2:$D$191,D140)</f>
        <v>1</v>
      </c>
    </row>
    <row r="141" customFormat="false" ht="15" hidden="false" customHeight="false" outlineLevel="0" collapsed="false">
      <c r="A141" s="5" t="n">
        <v>140</v>
      </c>
      <c r="B141" s="5" t="n">
        <v>1100</v>
      </c>
      <c r="C141" s="5" t="s">
        <v>45</v>
      </c>
      <c r="D141" s="7" t="n">
        <v>46215</v>
      </c>
      <c r="E141" s="5" t="s">
        <v>102</v>
      </c>
      <c r="F141" s="8" t="n">
        <v>756.77</v>
      </c>
      <c r="G141" s="5" t="s">
        <v>71</v>
      </c>
      <c r="H141" s="5" t="s">
        <v>72</v>
      </c>
      <c r="I141" s="5" t="s">
        <v>27</v>
      </c>
      <c r="J141" s="5" t="s">
        <v>73</v>
      </c>
      <c r="K141" s="5" t="n">
        <f aca="false">IF(AND(G141="deposit",J141="branch",F141&gt;=8000,F141&lt;10000),1,0)</f>
        <v>0</v>
      </c>
      <c r="L141" s="5" t="n">
        <f aca="false">IF(AND(G141="wire_out",MOD(F141,1000)=0,OR(I141="AE",I141="HK",I141="CY",I141="PA")),1,0)</f>
        <v>0</v>
      </c>
      <c r="M141" s="5" t="n">
        <f aca="false">IF(G141="wire_in",IF(SUMPRODUCT(($B$2:$B$191=B141)*($G$2:$G$191="wire_out")*($D$2:$D$191&gt;=D141)*($D$2:$D$191&lt;=D141+1)*($F$2:$F$191&gt;=F141*0.9)*($F$2:$F$191&lt;=F141))&gt;0,1,0),0)</f>
        <v>0</v>
      </c>
      <c r="N141" s="5" t="n">
        <f aca="false">COUNTIFS($B$2:$B$191,B141,$D$2:$D$191,D141)</f>
        <v>1</v>
      </c>
    </row>
    <row r="142" customFormat="false" ht="15" hidden="false" customHeight="false" outlineLevel="0" collapsed="false">
      <c r="A142" s="5" t="n">
        <v>141</v>
      </c>
      <c r="B142" s="5" t="n">
        <v>1100</v>
      </c>
      <c r="C142" s="5" t="s">
        <v>45</v>
      </c>
      <c r="D142" s="7" t="n">
        <v>46228</v>
      </c>
      <c r="E142" s="5" t="s">
        <v>102</v>
      </c>
      <c r="F142" s="8" t="n">
        <v>1404.64</v>
      </c>
      <c r="G142" s="5" t="s">
        <v>71</v>
      </c>
      <c r="H142" s="5" t="s">
        <v>105</v>
      </c>
      <c r="I142" s="5" t="s">
        <v>27</v>
      </c>
      <c r="J142" s="5" t="s">
        <v>66</v>
      </c>
      <c r="K142" s="5" t="n">
        <f aca="false">IF(AND(G142="deposit",J142="branch",F142&gt;=8000,F142&lt;10000),1,0)</f>
        <v>0</v>
      </c>
      <c r="L142" s="5" t="n">
        <f aca="false">IF(AND(G142="wire_out",MOD(F142,1000)=0,OR(I142="AE",I142="HK",I142="CY",I142="PA")),1,0)</f>
        <v>0</v>
      </c>
      <c r="M142" s="5" t="n">
        <f aca="false">IF(G142="wire_in",IF(SUMPRODUCT(($B$2:$B$191=B142)*($G$2:$G$191="wire_out")*($D$2:$D$191&gt;=D142)*($D$2:$D$191&lt;=D142+1)*($F$2:$F$191&gt;=F142*0.9)*($F$2:$F$191&lt;=F142))&gt;0,1,0),0)</f>
        <v>0</v>
      </c>
      <c r="N142" s="5" t="n">
        <f aca="false">COUNTIFS($B$2:$B$191,B142,$D$2:$D$191,D142)</f>
        <v>1</v>
      </c>
    </row>
    <row r="143" customFormat="false" ht="15" hidden="false" customHeight="false" outlineLevel="0" collapsed="false">
      <c r="A143" s="5" t="n">
        <v>142</v>
      </c>
      <c r="B143" s="5" t="n">
        <v>1100</v>
      </c>
      <c r="C143" s="5" t="s">
        <v>45</v>
      </c>
      <c r="D143" s="7" t="n">
        <v>46231</v>
      </c>
      <c r="E143" s="5" t="s">
        <v>102</v>
      </c>
      <c r="F143" s="8" t="n">
        <v>2163.44</v>
      </c>
      <c r="G143" s="5" t="s">
        <v>71</v>
      </c>
      <c r="H143" s="5" t="s">
        <v>72</v>
      </c>
      <c r="I143" s="5" t="s">
        <v>27</v>
      </c>
      <c r="J143" s="5" t="s">
        <v>73</v>
      </c>
      <c r="K143" s="5" t="n">
        <f aca="false">IF(AND(G143="deposit",J143="branch",F143&gt;=8000,F143&lt;10000),1,0)</f>
        <v>0</v>
      </c>
      <c r="L143" s="5" t="n">
        <f aca="false">IF(AND(G143="wire_out",MOD(F143,1000)=0,OR(I143="AE",I143="HK",I143="CY",I143="PA")),1,0)</f>
        <v>0</v>
      </c>
      <c r="M143" s="5" t="n">
        <f aca="false">IF(G143="wire_in",IF(SUMPRODUCT(($B$2:$B$191=B143)*($G$2:$G$191="wire_out")*($D$2:$D$191&gt;=D143)*($D$2:$D$191&lt;=D143+1)*($F$2:$F$191&gt;=F143*0.9)*($F$2:$F$191&lt;=F143))&gt;0,1,0),0)</f>
        <v>0</v>
      </c>
      <c r="N143" s="5" t="n">
        <f aca="false">COUNTIFS($B$2:$B$191,B143,$D$2:$D$191,D143)</f>
        <v>1</v>
      </c>
    </row>
    <row r="144" customFormat="false" ht="15" hidden="false" customHeight="false" outlineLevel="0" collapsed="false">
      <c r="A144" s="5" t="n">
        <v>143</v>
      </c>
      <c r="B144" s="5" t="n">
        <v>1100</v>
      </c>
      <c r="C144" s="5" t="s">
        <v>45</v>
      </c>
      <c r="D144" s="7" t="n">
        <v>46236</v>
      </c>
      <c r="E144" s="5" t="s">
        <v>102</v>
      </c>
      <c r="F144" s="8" t="n">
        <v>1272.03</v>
      </c>
      <c r="G144" s="5" t="s">
        <v>64</v>
      </c>
      <c r="H144" s="5" t="s">
        <v>72</v>
      </c>
      <c r="I144" s="5" t="s">
        <v>27</v>
      </c>
      <c r="J144" s="5" t="s">
        <v>73</v>
      </c>
      <c r="K144" s="5" t="n">
        <f aca="false">IF(AND(G144="deposit",J144="branch",F144&gt;=8000,F144&lt;10000),1,0)</f>
        <v>0</v>
      </c>
      <c r="L144" s="5" t="n">
        <f aca="false">IF(AND(G144="wire_out",MOD(F144,1000)=0,OR(I144="AE",I144="HK",I144="CY",I144="PA")),1,0)</f>
        <v>0</v>
      </c>
      <c r="M144" s="5" t="n">
        <f aca="false">IF(G144="wire_in",IF(SUMPRODUCT(($B$2:$B$191=B144)*($G$2:$G$191="wire_out")*($D$2:$D$191&gt;=D144)*($D$2:$D$191&lt;=D144+1)*($F$2:$F$191&gt;=F144*0.9)*($F$2:$F$191&lt;=F144))&gt;0,1,0),0)</f>
        <v>0</v>
      </c>
      <c r="N144" s="5" t="n">
        <f aca="false">COUNTIFS($B$2:$B$191,B144,$D$2:$D$191,D144)</f>
        <v>1</v>
      </c>
    </row>
    <row r="145" customFormat="false" ht="15" hidden="false" customHeight="false" outlineLevel="0" collapsed="false">
      <c r="A145" s="5" t="n">
        <v>144</v>
      </c>
      <c r="B145" s="5" t="n">
        <v>1100</v>
      </c>
      <c r="C145" s="5" t="s">
        <v>45</v>
      </c>
      <c r="D145" s="7" t="n">
        <v>46241</v>
      </c>
      <c r="E145" s="5" t="s">
        <v>102</v>
      </c>
      <c r="F145" s="8" t="n">
        <v>2677.09</v>
      </c>
      <c r="G145" s="5" t="s">
        <v>71</v>
      </c>
      <c r="H145" s="5" t="s">
        <v>72</v>
      </c>
      <c r="I145" s="5" t="s">
        <v>27</v>
      </c>
      <c r="J145" s="5" t="s">
        <v>66</v>
      </c>
      <c r="K145" s="5" t="n">
        <f aca="false">IF(AND(G145="deposit",J145="branch",F145&gt;=8000,F145&lt;10000),1,0)</f>
        <v>0</v>
      </c>
      <c r="L145" s="5" t="n">
        <f aca="false">IF(AND(G145="wire_out",MOD(F145,1000)=0,OR(I145="AE",I145="HK",I145="CY",I145="PA")),1,0)</f>
        <v>0</v>
      </c>
      <c r="M145" s="5" t="n">
        <f aca="false">IF(G145="wire_in",IF(SUMPRODUCT(($B$2:$B$191=B145)*($G$2:$G$191="wire_out")*($D$2:$D$191&gt;=D145)*($D$2:$D$191&lt;=D145+1)*($F$2:$F$191&gt;=F145*0.9)*($F$2:$F$191&lt;=F145))&gt;0,1,0),0)</f>
        <v>0</v>
      </c>
      <c r="N145" s="5" t="n">
        <f aca="false">COUNTIFS($B$2:$B$191,B145,$D$2:$D$191,D145)</f>
        <v>1</v>
      </c>
    </row>
    <row r="146" customFormat="false" ht="15" hidden="false" customHeight="false" outlineLevel="0" collapsed="false">
      <c r="A146" s="5" t="n">
        <v>145</v>
      </c>
      <c r="B146" s="5" t="n">
        <v>1100</v>
      </c>
      <c r="C146" s="5" t="s">
        <v>45</v>
      </c>
      <c r="D146" s="7" t="n">
        <v>46252</v>
      </c>
      <c r="E146" s="5" t="s">
        <v>102</v>
      </c>
      <c r="F146" s="8" t="n">
        <v>494.29</v>
      </c>
      <c r="G146" s="5" t="s">
        <v>71</v>
      </c>
      <c r="H146" s="5" t="s">
        <v>105</v>
      </c>
      <c r="I146" s="5" t="s">
        <v>27</v>
      </c>
      <c r="J146" s="5" t="s">
        <v>73</v>
      </c>
      <c r="K146" s="5" t="n">
        <f aca="false">IF(AND(G146="deposit",J146="branch",F146&gt;=8000,F146&lt;10000),1,0)</f>
        <v>0</v>
      </c>
      <c r="L146" s="5" t="n">
        <f aca="false">IF(AND(G146="wire_out",MOD(F146,1000)=0,OR(I146="AE",I146="HK",I146="CY",I146="PA")),1,0)</f>
        <v>0</v>
      </c>
      <c r="M146" s="5" t="n">
        <f aca="false">IF(G146="wire_in",IF(SUMPRODUCT(($B$2:$B$191=B146)*($G$2:$G$191="wire_out")*($D$2:$D$191&gt;=D146)*($D$2:$D$191&lt;=D146+1)*($F$2:$F$191&gt;=F146*0.9)*($F$2:$F$191&lt;=F146))&gt;0,1,0),0)</f>
        <v>0</v>
      </c>
      <c r="N146" s="5" t="n">
        <f aca="false">COUNTIFS($B$2:$B$191,B146,$D$2:$D$191,D146)</f>
        <v>1</v>
      </c>
    </row>
    <row r="147" customFormat="false" ht="15" hidden="false" customHeight="false" outlineLevel="0" collapsed="false">
      <c r="A147" s="5" t="n">
        <v>146</v>
      </c>
      <c r="B147" s="5" t="n">
        <v>1110</v>
      </c>
      <c r="C147" s="5" t="s">
        <v>47</v>
      </c>
      <c r="D147" s="7" t="n">
        <v>46040</v>
      </c>
      <c r="E147" s="5" t="s">
        <v>102</v>
      </c>
      <c r="F147" s="8" t="n">
        <v>2348.07</v>
      </c>
      <c r="G147" s="5" t="s">
        <v>64</v>
      </c>
      <c r="H147" s="5" t="s">
        <v>84</v>
      </c>
      <c r="I147" s="5" t="s">
        <v>27</v>
      </c>
      <c r="J147" s="5" t="s">
        <v>85</v>
      </c>
      <c r="K147" s="5" t="n">
        <f aca="false">IF(AND(G147="deposit",J147="branch",F147&gt;=8000,F147&lt;10000),1,0)</f>
        <v>0</v>
      </c>
      <c r="L147" s="5" t="n">
        <f aca="false">IF(AND(G147="wire_out",MOD(F147,1000)=0,OR(I147="AE",I147="HK",I147="CY",I147="PA")),1,0)</f>
        <v>0</v>
      </c>
      <c r="M147" s="5" t="n">
        <f aca="false">IF(G147="wire_in",IF(SUMPRODUCT(($B$2:$B$191=B147)*($G$2:$G$191="wire_out")*($D$2:$D$191&gt;=D147)*($D$2:$D$191&lt;=D147+1)*($F$2:$F$191&gt;=F147*0.9)*($F$2:$F$191&lt;=F147))&gt;0,1,0),0)</f>
        <v>0</v>
      </c>
      <c r="N147" s="5" t="n">
        <f aca="false">COUNTIFS($B$2:$B$191,B147,$D$2:$D$191,D147)</f>
        <v>1</v>
      </c>
    </row>
    <row r="148" customFormat="false" ht="15" hidden="false" customHeight="false" outlineLevel="0" collapsed="false">
      <c r="A148" s="5" t="n">
        <v>147</v>
      </c>
      <c r="B148" s="5" t="n">
        <v>1110</v>
      </c>
      <c r="C148" s="5" t="s">
        <v>47</v>
      </c>
      <c r="D148" s="7" t="n">
        <v>46050</v>
      </c>
      <c r="E148" s="5" t="s">
        <v>102</v>
      </c>
      <c r="F148" s="8" t="n">
        <v>1744.48</v>
      </c>
      <c r="G148" s="5" t="s">
        <v>71</v>
      </c>
      <c r="H148" s="5" t="s">
        <v>72</v>
      </c>
      <c r="I148" s="5" t="s">
        <v>27</v>
      </c>
      <c r="J148" s="5" t="s">
        <v>66</v>
      </c>
      <c r="K148" s="5" t="n">
        <f aca="false">IF(AND(G148="deposit",J148="branch",F148&gt;=8000,F148&lt;10000),1,0)</f>
        <v>0</v>
      </c>
      <c r="L148" s="5" t="n">
        <f aca="false">IF(AND(G148="wire_out",MOD(F148,1000)=0,OR(I148="AE",I148="HK",I148="CY",I148="PA")),1,0)</f>
        <v>0</v>
      </c>
      <c r="M148" s="5" t="n">
        <f aca="false">IF(G148="wire_in",IF(SUMPRODUCT(($B$2:$B$191=B148)*($G$2:$G$191="wire_out")*($D$2:$D$191&gt;=D148)*($D$2:$D$191&lt;=D148+1)*($F$2:$F$191&gt;=F148*0.9)*($F$2:$F$191&lt;=F148))&gt;0,1,0),0)</f>
        <v>0</v>
      </c>
      <c r="N148" s="5" t="n">
        <f aca="false">COUNTIFS($B$2:$B$191,B148,$D$2:$D$191,D148)</f>
        <v>1</v>
      </c>
    </row>
    <row r="149" customFormat="false" ht="15" hidden="false" customHeight="false" outlineLevel="0" collapsed="false">
      <c r="A149" s="5" t="n">
        <v>148</v>
      </c>
      <c r="B149" s="5" t="n">
        <v>1110</v>
      </c>
      <c r="C149" s="5" t="s">
        <v>47</v>
      </c>
      <c r="D149" s="7" t="n">
        <v>46068</v>
      </c>
      <c r="E149" s="5" t="s">
        <v>102</v>
      </c>
      <c r="F149" s="8" t="n">
        <v>2206.71</v>
      </c>
      <c r="G149" s="5" t="s">
        <v>71</v>
      </c>
      <c r="H149" s="5" t="s">
        <v>72</v>
      </c>
      <c r="I149" s="5" t="s">
        <v>27</v>
      </c>
      <c r="J149" s="5" t="s">
        <v>66</v>
      </c>
      <c r="K149" s="5" t="n">
        <f aca="false">IF(AND(G149="deposit",J149="branch",F149&gt;=8000,F149&lt;10000),1,0)</f>
        <v>0</v>
      </c>
      <c r="L149" s="5" t="n">
        <f aca="false">IF(AND(G149="wire_out",MOD(F149,1000)=0,OR(I149="AE",I149="HK",I149="CY",I149="PA")),1,0)</f>
        <v>0</v>
      </c>
      <c r="M149" s="5" t="n">
        <f aca="false">IF(G149="wire_in",IF(SUMPRODUCT(($B$2:$B$191=B149)*($G$2:$G$191="wire_out")*($D$2:$D$191&gt;=D149)*($D$2:$D$191&lt;=D149+1)*($F$2:$F$191&gt;=F149*0.9)*($F$2:$F$191&lt;=F149))&gt;0,1,0),0)</f>
        <v>0</v>
      </c>
      <c r="N149" s="5" t="n">
        <f aca="false">COUNTIFS($B$2:$B$191,B149,$D$2:$D$191,D149)</f>
        <v>1</v>
      </c>
    </row>
    <row r="150" customFormat="false" ht="15" hidden="false" customHeight="false" outlineLevel="0" collapsed="false">
      <c r="A150" s="5" t="n">
        <v>149</v>
      </c>
      <c r="B150" s="5" t="n">
        <v>1110</v>
      </c>
      <c r="C150" s="5" t="s">
        <v>47</v>
      </c>
      <c r="D150" s="7" t="n">
        <v>46069</v>
      </c>
      <c r="E150" s="5" t="s">
        <v>102</v>
      </c>
      <c r="F150" s="8" t="n">
        <v>169.85</v>
      </c>
      <c r="G150" s="5" t="s">
        <v>71</v>
      </c>
      <c r="H150" s="5" t="s">
        <v>104</v>
      </c>
      <c r="I150" s="5" t="s">
        <v>27</v>
      </c>
      <c r="J150" s="5" t="s">
        <v>85</v>
      </c>
      <c r="K150" s="5" t="n">
        <f aca="false">IF(AND(G150="deposit",J150="branch",F150&gt;=8000,F150&lt;10000),1,0)</f>
        <v>0</v>
      </c>
      <c r="L150" s="5" t="n">
        <f aca="false">IF(AND(G150="wire_out",MOD(F150,1000)=0,OR(I150="AE",I150="HK",I150="CY",I150="PA")),1,0)</f>
        <v>0</v>
      </c>
      <c r="M150" s="5" t="n">
        <f aca="false">IF(G150="wire_in",IF(SUMPRODUCT(($B$2:$B$191=B150)*($G$2:$G$191="wire_out")*($D$2:$D$191&gt;=D150)*($D$2:$D$191&lt;=D150+1)*($F$2:$F$191&gt;=F150*0.9)*($F$2:$F$191&lt;=F150))&gt;0,1,0),0)</f>
        <v>0</v>
      </c>
      <c r="N150" s="5" t="n">
        <f aca="false">COUNTIFS($B$2:$B$191,B150,$D$2:$D$191,D150)</f>
        <v>1</v>
      </c>
    </row>
    <row r="151" customFormat="false" ht="15" hidden="false" customHeight="false" outlineLevel="0" collapsed="false">
      <c r="A151" s="5" t="n">
        <v>150</v>
      </c>
      <c r="B151" s="5" t="n">
        <v>1110</v>
      </c>
      <c r="C151" s="5" t="s">
        <v>47</v>
      </c>
      <c r="D151" s="7" t="n">
        <v>46074</v>
      </c>
      <c r="E151" s="5" t="s">
        <v>102</v>
      </c>
      <c r="F151" s="8" t="n">
        <v>2520.9</v>
      </c>
      <c r="G151" s="5" t="s">
        <v>64</v>
      </c>
      <c r="H151" s="5" t="s">
        <v>103</v>
      </c>
      <c r="I151" s="5" t="s">
        <v>27</v>
      </c>
      <c r="J151" s="5" t="s">
        <v>85</v>
      </c>
      <c r="K151" s="5" t="n">
        <f aca="false">IF(AND(G151="deposit",J151="branch",F151&gt;=8000,F151&lt;10000),1,0)</f>
        <v>0</v>
      </c>
      <c r="L151" s="5" t="n">
        <f aca="false">IF(AND(G151="wire_out",MOD(F151,1000)=0,OR(I151="AE",I151="HK",I151="CY",I151="PA")),1,0)</f>
        <v>0</v>
      </c>
      <c r="M151" s="5" t="n">
        <f aca="false">IF(G151="wire_in",IF(SUMPRODUCT(($B$2:$B$191=B151)*($G$2:$G$191="wire_out")*($D$2:$D$191&gt;=D151)*($D$2:$D$191&lt;=D151+1)*($F$2:$F$191&gt;=F151*0.9)*($F$2:$F$191&lt;=F151))&gt;0,1,0),0)</f>
        <v>0</v>
      </c>
      <c r="N151" s="5" t="n">
        <f aca="false">COUNTIFS($B$2:$B$191,B151,$D$2:$D$191,D151)</f>
        <v>1</v>
      </c>
    </row>
    <row r="152" customFormat="false" ht="15" hidden="false" customHeight="false" outlineLevel="0" collapsed="false">
      <c r="A152" s="5" t="n">
        <v>151</v>
      </c>
      <c r="B152" s="5" t="n">
        <v>1110</v>
      </c>
      <c r="C152" s="5" t="s">
        <v>47</v>
      </c>
      <c r="D152" s="7" t="n">
        <v>46085</v>
      </c>
      <c r="E152" s="5" t="s">
        <v>102</v>
      </c>
      <c r="F152" s="8" t="n">
        <v>2256.42</v>
      </c>
      <c r="G152" s="5" t="s">
        <v>71</v>
      </c>
      <c r="H152" s="5" t="s">
        <v>104</v>
      </c>
      <c r="I152" s="5" t="s">
        <v>27</v>
      </c>
      <c r="J152" s="5" t="s">
        <v>85</v>
      </c>
      <c r="K152" s="5" t="n">
        <f aca="false">IF(AND(G152="deposit",J152="branch",F152&gt;=8000,F152&lt;10000),1,0)</f>
        <v>0</v>
      </c>
      <c r="L152" s="5" t="n">
        <f aca="false">IF(AND(G152="wire_out",MOD(F152,1000)=0,OR(I152="AE",I152="HK",I152="CY",I152="PA")),1,0)</f>
        <v>0</v>
      </c>
      <c r="M152" s="5" t="n">
        <f aca="false">IF(G152="wire_in",IF(SUMPRODUCT(($B$2:$B$191=B152)*($G$2:$G$191="wire_out")*($D$2:$D$191&gt;=D152)*($D$2:$D$191&lt;=D152+1)*($F$2:$F$191&gt;=F152*0.9)*($F$2:$F$191&lt;=F152))&gt;0,1,0),0)</f>
        <v>0</v>
      </c>
      <c r="N152" s="5" t="n">
        <f aca="false">COUNTIFS($B$2:$B$191,B152,$D$2:$D$191,D152)</f>
        <v>1</v>
      </c>
    </row>
    <row r="153" customFormat="false" ht="15" hidden="false" customHeight="false" outlineLevel="0" collapsed="false">
      <c r="A153" s="5" t="n">
        <v>152</v>
      </c>
      <c r="B153" s="5" t="n">
        <v>1110</v>
      </c>
      <c r="C153" s="5" t="s">
        <v>47</v>
      </c>
      <c r="D153" s="7" t="n">
        <v>46087</v>
      </c>
      <c r="E153" s="5" t="s">
        <v>102</v>
      </c>
      <c r="F153" s="8" t="n">
        <v>2508.03</v>
      </c>
      <c r="G153" s="5" t="s">
        <v>71</v>
      </c>
      <c r="H153" s="5" t="s">
        <v>84</v>
      </c>
      <c r="I153" s="5" t="s">
        <v>27</v>
      </c>
      <c r="J153" s="5" t="s">
        <v>66</v>
      </c>
      <c r="K153" s="5" t="n">
        <f aca="false">IF(AND(G153="deposit",J153="branch",F153&gt;=8000,F153&lt;10000),1,0)</f>
        <v>0</v>
      </c>
      <c r="L153" s="5" t="n">
        <f aca="false">IF(AND(G153="wire_out",MOD(F153,1000)=0,OR(I153="AE",I153="HK",I153="CY",I153="PA")),1,0)</f>
        <v>0</v>
      </c>
      <c r="M153" s="5" t="n">
        <f aca="false">IF(G153="wire_in",IF(SUMPRODUCT(($B$2:$B$191=B153)*($G$2:$G$191="wire_out")*($D$2:$D$191&gt;=D153)*($D$2:$D$191&lt;=D153+1)*($F$2:$F$191&gt;=F153*0.9)*($F$2:$F$191&lt;=F153))&gt;0,1,0),0)</f>
        <v>0</v>
      </c>
      <c r="N153" s="5" t="n">
        <f aca="false">COUNTIFS($B$2:$B$191,B153,$D$2:$D$191,D153)</f>
        <v>1</v>
      </c>
    </row>
    <row r="154" customFormat="false" ht="15" hidden="false" customHeight="false" outlineLevel="0" collapsed="false">
      <c r="A154" s="5" t="n">
        <v>153</v>
      </c>
      <c r="B154" s="5" t="n">
        <v>1110</v>
      </c>
      <c r="C154" s="5" t="s">
        <v>47</v>
      </c>
      <c r="D154" s="7" t="n">
        <v>46088</v>
      </c>
      <c r="E154" s="5" t="s">
        <v>102</v>
      </c>
      <c r="F154" s="8" t="n">
        <v>2305.36</v>
      </c>
      <c r="G154" s="5" t="s">
        <v>64</v>
      </c>
      <c r="H154" s="5" t="s">
        <v>72</v>
      </c>
      <c r="I154" s="5" t="s">
        <v>27</v>
      </c>
      <c r="J154" s="5" t="s">
        <v>66</v>
      </c>
      <c r="K154" s="5" t="n">
        <f aca="false">IF(AND(G154="deposit",J154="branch",F154&gt;=8000,F154&lt;10000),1,0)</f>
        <v>0</v>
      </c>
      <c r="L154" s="5" t="n">
        <f aca="false">IF(AND(G154="wire_out",MOD(F154,1000)=0,OR(I154="AE",I154="HK",I154="CY",I154="PA")),1,0)</f>
        <v>0</v>
      </c>
      <c r="M154" s="5" t="n">
        <f aca="false">IF(G154="wire_in",IF(SUMPRODUCT(($B$2:$B$191=B154)*($G$2:$G$191="wire_out")*($D$2:$D$191&gt;=D154)*($D$2:$D$191&lt;=D154+1)*($F$2:$F$191&gt;=F154*0.9)*($F$2:$F$191&lt;=F154))&gt;0,1,0),0)</f>
        <v>0</v>
      </c>
      <c r="N154" s="5" t="n">
        <f aca="false">COUNTIFS($B$2:$B$191,B154,$D$2:$D$191,D154)</f>
        <v>1</v>
      </c>
    </row>
    <row r="155" customFormat="false" ht="15" hidden="false" customHeight="false" outlineLevel="0" collapsed="false">
      <c r="A155" s="5" t="n">
        <v>154</v>
      </c>
      <c r="B155" s="5" t="n">
        <v>1110</v>
      </c>
      <c r="C155" s="5" t="s">
        <v>47</v>
      </c>
      <c r="D155" s="7" t="n">
        <v>46105</v>
      </c>
      <c r="E155" s="5" t="s">
        <v>102</v>
      </c>
      <c r="F155" s="8" t="n">
        <v>2558.11</v>
      </c>
      <c r="G155" s="5" t="s">
        <v>64</v>
      </c>
      <c r="H155" s="5" t="s">
        <v>104</v>
      </c>
      <c r="I155" s="5" t="s">
        <v>27</v>
      </c>
      <c r="J155" s="5" t="s">
        <v>73</v>
      </c>
      <c r="K155" s="5" t="n">
        <f aca="false">IF(AND(G155="deposit",J155="branch",F155&gt;=8000,F155&lt;10000),1,0)</f>
        <v>0</v>
      </c>
      <c r="L155" s="5" t="n">
        <f aca="false">IF(AND(G155="wire_out",MOD(F155,1000)=0,OR(I155="AE",I155="HK",I155="CY",I155="PA")),1,0)</f>
        <v>0</v>
      </c>
      <c r="M155" s="5" t="n">
        <f aca="false">IF(G155="wire_in",IF(SUMPRODUCT(($B$2:$B$191=B155)*($G$2:$G$191="wire_out")*($D$2:$D$191&gt;=D155)*($D$2:$D$191&lt;=D155+1)*($F$2:$F$191&gt;=F155*0.9)*($F$2:$F$191&lt;=F155))&gt;0,1,0),0)</f>
        <v>0</v>
      </c>
      <c r="N155" s="5" t="n">
        <f aca="false">COUNTIFS($B$2:$B$191,B155,$D$2:$D$191,D155)</f>
        <v>1</v>
      </c>
    </row>
    <row r="156" customFormat="false" ht="15" hidden="false" customHeight="false" outlineLevel="0" collapsed="false">
      <c r="A156" s="5" t="n">
        <v>155</v>
      </c>
      <c r="B156" s="5" t="n">
        <v>1110</v>
      </c>
      <c r="C156" s="5" t="s">
        <v>47</v>
      </c>
      <c r="D156" s="7" t="n">
        <v>46111</v>
      </c>
      <c r="E156" s="5" t="s">
        <v>102</v>
      </c>
      <c r="F156" s="8" t="n">
        <v>1607.58</v>
      </c>
      <c r="G156" s="5" t="s">
        <v>71</v>
      </c>
      <c r="H156" s="5" t="s">
        <v>84</v>
      </c>
      <c r="I156" s="5" t="s">
        <v>27</v>
      </c>
      <c r="J156" s="5" t="s">
        <v>66</v>
      </c>
      <c r="K156" s="5" t="n">
        <f aca="false">IF(AND(G156="deposit",J156="branch",F156&gt;=8000,F156&lt;10000),1,0)</f>
        <v>0</v>
      </c>
      <c r="L156" s="5" t="n">
        <f aca="false">IF(AND(G156="wire_out",MOD(F156,1000)=0,OR(I156="AE",I156="HK",I156="CY",I156="PA")),1,0)</f>
        <v>0</v>
      </c>
      <c r="M156" s="5" t="n">
        <f aca="false">IF(G156="wire_in",IF(SUMPRODUCT(($B$2:$B$191=B156)*($G$2:$G$191="wire_out")*($D$2:$D$191&gt;=D156)*($D$2:$D$191&lt;=D156+1)*($F$2:$F$191&gt;=F156*0.9)*($F$2:$F$191&lt;=F156))&gt;0,1,0),0)</f>
        <v>0</v>
      </c>
      <c r="N156" s="5" t="n">
        <f aca="false">COUNTIFS($B$2:$B$191,B156,$D$2:$D$191,D156)</f>
        <v>1</v>
      </c>
    </row>
    <row r="157" customFormat="false" ht="15" hidden="false" customHeight="false" outlineLevel="0" collapsed="false">
      <c r="A157" s="5" t="n">
        <v>156</v>
      </c>
      <c r="B157" s="5" t="n">
        <v>1110</v>
      </c>
      <c r="C157" s="5" t="s">
        <v>47</v>
      </c>
      <c r="D157" s="7" t="n">
        <v>46113</v>
      </c>
      <c r="E157" s="5" t="s">
        <v>102</v>
      </c>
      <c r="F157" s="8" t="n">
        <v>2397.54</v>
      </c>
      <c r="G157" s="5" t="s">
        <v>71</v>
      </c>
      <c r="H157" s="5" t="s">
        <v>104</v>
      </c>
      <c r="I157" s="5" t="s">
        <v>27</v>
      </c>
      <c r="J157" s="5" t="s">
        <v>66</v>
      </c>
      <c r="K157" s="5" t="n">
        <f aca="false">IF(AND(G157="deposit",J157="branch",F157&gt;=8000,F157&lt;10000),1,0)</f>
        <v>0</v>
      </c>
      <c r="L157" s="5" t="n">
        <f aca="false">IF(AND(G157="wire_out",MOD(F157,1000)=0,OR(I157="AE",I157="HK",I157="CY",I157="PA")),1,0)</f>
        <v>0</v>
      </c>
      <c r="M157" s="5" t="n">
        <f aca="false">IF(G157="wire_in",IF(SUMPRODUCT(($B$2:$B$191=B157)*($G$2:$G$191="wire_out")*($D$2:$D$191&gt;=D157)*($D$2:$D$191&lt;=D157+1)*($F$2:$F$191&gt;=F157*0.9)*($F$2:$F$191&lt;=F157))&gt;0,1,0),0)</f>
        <v>0</v>
      </c>
      <c r="N157" s="5" t="n">
        <f aca="false">COUNTIFS($B$2:$B$191,B157,$D$2:$D$191,D157)</f>
        <v>1</v>
      </c>
    </row>
    <row r="158" customFormat="false" ht="15" hidden="false" customHeight="false" outlineLevel="0" collapsed="false">
      <c r="A158" s="5" t="n">
        <v>157</v>
      </c>
      <c r="B158" s="5" t="n">
        <v>1110</v>
      </c>
      <c r="C158" s="5" t="s">
        <v>47</v>
      </c>
      <c r="D158" s="7" t="n">
        <v>46133</v>
      </c>
      <c r="E158" s="5" t="s">
        <v>102</v>
      </c>
      <c r="F158" s="8" t="n">
        <v>2883.15</v>
      </c>
      <c r="G158" s="5" t="s">
        <v>71</v>
      </c>
      <c r="H158" s="5" t="s">
        <v>103</v>
      </c>
      <c r="I158" s="5" t="s">
        <v>27</v>
      </c>
      <c r="J158" s="5" t="s">
        <v>73</v>
      </c>
      <c r="K158" s="5" t="n">
        <f aca="false">IF(AND(G158="deposit",J158="branch",F158&gt;=8000,F158&lt;10000),1,0)</f>
        <v>0</v>
      </c>
      <c r="L158" s="5" t="n">
        <f aca="false">IF(AND(G158="wire_out",MOD(F158,1000)=0,OR(I158="AE",I158="HK",I158="CY",I158="PA")),1,0)</f>
        <v>0</v>
      </c>
      <c r="M158" s="5" t="n">
        <f aca="false">IF(G158="wire_in",IF(SUMPRODUCT(($B$2:$B$191=B158)*($G$2:$G$191="wire_out")*($D$2:$D$191&gt;=D158)*($D$2:$D$191&lt;=D158+1)*($F$2:$F$191&gt;=F158*0.9)*($F$2:$F$191&lt;=F158))&gt;0,1,0),0)</f>
        <v>0</v>
      </c>
      <c r="N158" s="5" t="n">
        <f aca="false">COUNTIFS($B$2:$B$191,B158,$D$2:$D$191,D158)</f>
        <v>1</v>
      </c>
    </row>
    <row r="159" customFormat="false" ht="15" hidden="false" customHeight="false" outlineLevel="0" collapsed="false">
      <c r="A159" s="5" t="n">
        <v>158</v>
      </c>
      <c r="B159" s="5" t="n">
        <v>1110</v>
      </c>
      <c r="C159" s="5" t="s">
        <v>47</v>
      </c>
      <c r="D159" s="7" t="n">
        <v>46139</v>
      </c>
      <c r="E159" s="5" t="s">
        <v>102</v>
      </c>
      <c r="F159" s="8" t="n">
        <v>994</v>
      </c>
      <c r="G159" s="5" t="s">
        <v>71</v>
      </c>
      <c r="H159" s="5" t="s">
        <v>104</v>
      </c>
      <c r="I159" s="5" t="s">
        <v>27</v>
      </c>
      <c r="J159" s="5" t="s">
        <v>73</v>
      </c>
      <c r="K159" s="5" t="n">
        <f aca="false">IF(AND(G159="deposit",J159="branch",F159&gt;=8000,F159&lt;10000),1,0)</f>
        <v>0</v>
      </c>
      <c r="L159" s="5" t="n">
        <f aca="false">IF(AND(G159="wire_out",MOD(F159,1000)=0,OR(I159="AE",I159="HK",I159="CY",I159="PA")),1,0)</f>
        <v>0</v>
      </c>
      <c r="M159" s="5" t="n">
        <f aca="false">IF(G159="wire_in",IF(SUMPRODUCT(($B$2:$B$191=B159)*($G$2:$G$191="wire_out")*($D$2:$D$191&gt;=D159)*($D$2:$D$191&lt;=D159+1)*($F$2:$F$191&gt;=F159*0.9)*($F$2:$F$191&lt;=F159))&gt;0,1,0),0)</f>
        <v>0</v>
      </c>
      <c r="N159" s="5" t="n">
        <f aca="false">COUNTIFS($B$2:$B$191,B159,$D$2:$D$191,D159)</f>
        <v>1</v>
      </c>
    </row>
    <row r="160" customFormat="false" ht="15" hidden="false" customHeight="false" outlineLevel="0" collapsed="false">
      <c r="A160" s="5" t="n">
        <v>159</v>
      </c>
      <c r="B160" s="5" t="n">
        <v>1110</v>
      </c>
      <c r="C160" s="5" t="s">
        <v>47</v>
      </c>
      <c r="D160" s="7" t="n">
        <v>46144</v>
      </c>
      <c r="E160" s="5" t="s">
        <v>102</v>
      </c>
      <c r="F160" s="8" t="n">
        <v>2014.99</v>
      </c>
      <c r="G160" s="5" t="s">
        <v>64</v>
      </c>
      <c r="H160" s="5" t="s">
        <v>105</v>
      </c>
      <c r="I160" s="5" t="s">
        <v>27</v>
      </c>
      <c r="J160" s="5" t="s">
        <v>66</v>
      </c>
      <c r="K160" s="5" t="n">
        <f aca="false">IF(AND(G160="deposit",J160="branch",F160&gt;=8000,F160&lt;10000),1,0)</f>
        <v>0</v>
      </c>
      <c r="L160" s="5" t="n">
        <f aca="false">IF(AND(G160="wire_out",MOD(F160,1000)=0,OR(I160="AE",I160="HK",I160="CY",I160="PA")),1,0)</f>
        <v>0</v>
      </c>
      <c r="M160" s="5" t="n">
        <f aca="false">IF(G160="wire_in",IF(SUMPRODUCT(($B$2:$B$191=B160)*($G$2:$G$191="wire_out")*($D$2:$D$191&gt;=D160)*($D$2:$D$191&lt;=D160+1)*($F$2:$F$191&gt;=F160*0.9)*($F$2:$F$191&lt;=F160))&gt;0,1,0),0)</f>
        <v>0</v>
      </c>
      <c r="N160" s="5" t="n">
        <f aca="false">COUNTIFS($B$2:$B$191,B160,$D$2:$D$191,D160)</f>
        <v>1</v>
      </c>
    </row>
    <row r="161" customFormat="false" ht="15" hidden="false" customHeight="false" outlineLevel="0" collapsed="false">
      <c r="A161" s="5" t="n">
        <v>160</v>
      </c>
      <c r="B161" s="5" t="n">
        <v>1110</v>
      </c>
      <c r="C161" s="5" t="s">
        <v>47</v>
      </c>
      <c r="D161" s="7" t="n">
        <v>46149</v>
      </c>
      <c r="E161" s="5" t="s">
        <v>102</v>
      </c>
      <c r="F161" s="8" t="n">
        <v>2555.84</v>
      </c>
      <c r="G161" s="5" t="s">
        <v>64</v>
      </c>
      <c r="H161" s="5" t="s">
        <v>105</v>
      </c>
      <c r="I161" s="5" t="s">
        <v>27</v>
      </c>
      <c r="J161" s="5" t="s">
        <v>85</v>
      </c>
      <c r="K161" s="5" t="n">
        <f aca="false">IF(AND(G161="deposit",J161="branch",F161&gt;=8000,F161&lt;10000),1,0)</f>
        <v>0</v>
      </c>
      <c r="L161" s="5" t="n">
        <f aca="false">IF(AND(G161="wire_out",MOD(F161,1000)=0,OR(I161="AE",I161="HK",I161="CY",I161="PA")),1,0)</f>
        <v>0</v>
      </c>
      <c r="M161" s="5" t="n">
        <f aca="false">IF(G161="wire_in",IF(SUMPRODUCT(($B$2:$B$191=B161)*($G$2:$G$191="wire_out")*($D$2:$D$191&gt;=D161)*($D$2:$D$191&lt;=D161+1)*($F$2:$F$191&gt;=F161*0.9)*($F$2:$F$191&lt;=F161))&gt;0,1,0),0)</f>
        <v>0</v>
      </c>
      <c r="N161" s="5" t="n">
        <f aca="false">COUNTIFS($B$2:$B$191,B161,$D$2:$D$191,D161)</f>
        <v>1</v>
      </c>
    </row>
    <row r="162" customFormat="false" ht="15" hidden="false" customHeight="false" outlineLevel="0" collapsed="false">
      <c r="A162" s="5" t="n">
        <v>161</v>
      </c>
      <c r="B162" s="5" t="n">
        <v>1110</v>
      </c>
      <c r="C162" s="5" t="s">
        <v>47</v>
      </c>
      <c r="D162" s="7" t="n">
        <v>46161</v>
      </c>
      <c r="E162" s="5" t="s">
        <v>102</v>
      </c>
      <c r="F162" s="8" t="n">
        <v>175.22</v>
      </c>
      <c r="G162" s="5" t="s">
        <v>71</v>
      </c>
      <c r="H162" s="5" t="s">
        <v>103</v>
      </c>
      <c r="I162" s="5" t="s">
        <v>27</v>
      </c>
      <c r="J162" s="5" t="s">
        <v>66</v>
      </c>
      <c r="K162" s="5" t="n">
        <f aca="false">IF(AND(G162="deposit",J162="branch",F162&gt;=8000,F162&lt;10000),1,0)</f>
        <v>0</v>
      </c>
      <c r="L162" s="5" t="n">
        <f aca="false">IF(AND(G162="wire_out",MOD(F162,1000)=0,OR(I162="AE",I162="HK",I162="CY",I162="PA")),1,0)</f>
        <v>0</v>
      </c>
      <c r="M162" s="5" t="n">
        <f aca="false">IF(G162="wire_in",IF(SUMPRODUCT(($B$2:$B$191=B162)*($G$2:$G$191="wire_out")*($D$2:$D$191&gt;=D162)*($D$2:$D$191&lt;=D162+1)*($F$2:$F$191&gt;=F162*0.9)*($F$2:$F$191&lt;=F162))&gt;0,1,0),0)</f>
        <v>0</v>
      </c>
      <c r="N162" s="5" t="n">
        <f aca="false">COUNTIFS($B$2:$B$191,B162,$D$2:$D$191,D162)</f>
        <v>1</v>
      </c>
    </row>
    <row r="163" customFormat="false" ht="15" hidden="false" customHeight="false" outlineLevel="0" collapsed="false">
      <c r="A163" s="5" t="n">
        <v>162</v>
      </c>
      <c r="B163" s="5" t="n">
        <v>1110</v>
      </c>
      <c r="C163" s="5" t="s">
        <v>47</v>
      </c>
      <c r="D163" s="7" t="n">
        <v>46174</v>
      </c>
      <c r="E163" s="5" t="s">
        <v>102</v>
      </c>
      <c r="F163" s="8" t="n">
        <v>2078.03</v>
      </c>
      <c r="G163" s="5" t="s">
        <v>64</v>
      </c>
      <c r="H163" s="5" t="s">
        <v>84</v>
      </c>
      <c r="I163" s="5" t="s">
        <v>27</v>
      </c>
      <c r="J163" s="5" t="s">
        <v>66</v>
      </c>
      <c r="K163" s="5" t="n">
        <f aca="false">IF(AND(G163="deposit",J163="branch",F163&gt;=8000,F163&lt;10000),1,0)</f>
        <v>0</v>
      </c>
      <c r="L163" s="5" t="n">
        <f aca="false">IF(AND(G163="wire_out",MOD(F163,1000)=0,OR(I163="AE",I163="HK",I163="CY",I163="PA")),1,0)</f>
        <v>0</v>
      </c>
      <c r="M163" s="5" t="n">
        <f aca="false">IF(G163="wire_in",IF(SUMPRODUCT(($B$2:$B$191=B163)*($G$2:$G$191="wire_out")*($D$2:$D$191&gt;=D163)*($D$2:$D$191&lt;=D163+1)*($F$2:$F$191&gt;=F163*0.9)*($F$2:$F$191&lt;=F163))&gt;0,1,0),0)</f>
        <v>0</v>
      </c>
      <c r="N163" s="5" t="n">
        <f aca="false">COUNTIFS($B$2:$B$191,B163,$D$2:$D$191,D163)</f>
        <v>1</v>
      </c>
    </row>
    <row r="164" customFormat="false" ht="15" hidden="false" customHeight="false" outlineLevel="0" collapsed="false">
      <c r="A164" s="5" t="n">
        <v>163</v>
      </c>
      <c r="B164" s="5" t="n">
        <v>1110</v>
      </c>
      <c r="C164" s="5" t="s">
        <v>47</v>
      </c>
      <c r="D164" s="7" t="n">
        <v>46182</v>
      </c>
      <c r="E164" s="5" t="s">
        <v>102</v>
      </c>
      <c r="F164" s="8" t="n">
        <v>1611.69</v>
      </c>
      <c r="G164" s="5" t="s">
        <v>71</v>
      </c>
      <c r="H164" s="5" t="s">
        <v>72</v>
      </c>
      <c r="I164" s="5" t="s">
        <v>27</v>
      </c>
      <c r="J164" s="5" t="s">
        <v>66</v>
      </c>
      <c r="K164" s="5" t="n">
        <f aca="false">IF(AND(G164="deposit",J164="branch",F164&gt;=8000,F164&lt;10000),1,0)</f>
        <v>0</v>
      </c>
      <c r="L164" s="5" t="n">
        <f aca="false">IF(AND(G164="wire_out",MOD(F164,1000)=0,OR(I164="AE",I164="HK",I164="CY",I164="PA")),1,0)</f>
        <v>0</v>
      </c>
      <c r="M164" s="5" t="n">
        <f aca="false">IF(G164="wire_in",IF(SUMPRODUCT(($B$2:$B$191=B164)*($G$2:$G$191="wire_out")*($D$2:$D$191&gt;=D164)*($D$2:$D$191&lt;=D164+1)*($F$2:$F$191&gt;=F164*0.9)*($F$2:$F$191&lt;=F164))&gt;0,1,0),0)</f>
        <v>0</v>
      </c>
      <c r="N164" s="5" t="n">
        <f aca="false">COUNTIFS($B$2:$B$191,B164,$D$2:$D$191,D164)</f>
        <v>1</v>
      </c>
    </row>
    <row r="165" customFormat="false" ht="15" hidden="false" customHeight="false" outlineLevel="0" collapsed="false">
      <c r="A165" s="5" t="n">
        <v>164</v>
      </c>
      <c r="B165" s="5" t="n">
        <v>1110</v>
      </c>
      <c r="C165" s="5" t="s">
        <v>47</v>
      </c>
      <c r="D165" s="7" t="n">
        <v>46188</v>
      </c>
      <c r="E165" s="5" t="s">
        <v>102</v>
      </c>
      <c r="F165" s="8" t="n">
        <v>1036.87</v>
      </c>
      <c r="G165" s="5" t="s">
        <v>71</v>
      </c>
      <c r="H165" s="5" t="s">
        <v>105</v>
      </c>
      <c r="I165" s="5" t="s">
        <v>27</v>
      </c>
      <c r="J165" s="5" t="s">
        <v>85</v>
      </c>
      <c r="K165" s="5" t="n">
        <f aca="false">IF(AND(G165="deposit",J165="branch",F165&gt;=8000,F165&lt;10000),1,0)</f>
        <v>0</v>
      </c>
      <c r="L165" s="5" t="n">
        <f aca="false">IF(AND(G165="wire_out",MOD(F165,1000)=0,OR(I165="AE",I165="HK",I165="CY",I165="PA")),1,0)</f>
        <v>0</v>
      </c>
      <c r="M165" s="5" t="n">
        <f aca="false">IF(G165="wire_in",IF(SUMPRODUCT(($B$2:$B$191=B165)*($G$2:$G$191="wire_out")*($D$2:$D$191&gt;=D165)*($D$2:$D$191&lt;=D165+1)*($F$2:$F$191&gt;=F165*0.9)*($F$2:$F$191&lt;=F165))&gt;0,1,0),0)</f>
        <v>0</v>
      </c>
      <c r="N165" s="5" t="n">
        <f aca="false">COUNTIFS($B$2:$B$191,B165,$D$2:$D$191,D165)</f>
        <v>1</v>
      </c>
    </row>
    <row r="166" customFormat="false" ht="15" hidden="false" customHeight="false" outlineLevel="0" collapsed="false">
      <c r="A166" s="5" t="n">
        <v>165</v>
      </c>
      <c r="B166" s="5" t="n">
        <v>1110</v>
      </c>
      <c r="C166" s="5" t="s">
        <v>47</v>
      </c>
      <c r="D166" s="7" t="n">
        <v>46192</v>
      </c>
      <c r="E166" s="5" t="s">
        <v>102</v>
      </c>
      <c r="F166" s="8" t="n">
        <v>100.76</v>
      </c>
      <c r="G166" s="5" t="s">
        <v>71</v>
      </c>
      <c r="H166" s="5" t="s">
        <v>103</v>
      </c>
      <c r="I166" s="5" t="s">
        <v>27</v>
      </c>
      <c r="J166" s="5" t="s">
        <v>73</v>
      </c>
      <c r="K166" s="5" t="n">
        <f aca="false">IF(AND(G166="deposit",J166="branch",F166&gt;=8000,F166&lt;10000),1,0)</f>
        <v>0</v>
      </c>
      <c r="L166" s="5" t="n">
        <f aca="false">IF(AND(G166="wire_out",MOD(F166,1000)=0,OR(I166="AE",I166="HK",I166="CY",I166="PA")),1,0)</f>
        <v>0</v>
      </c>
      <c r="M166" s="5" t="n">
        <f aca="false">IF(G166="wire_in",IF(SUMPRODUCT(($B$2:$B$191=B166)*($G$2:$G$191="wire_out")*($D$2:$D$191&gt;=D166)*($D$2:$D$191&lt;=D166+1)*($F$2:$F$191&gt;=F166*0.9)*($F$2:$F$191&lt;=F166))&gt;0,1,0),0)</f>
        <v>0</v>
      </c>
      <c r="N166" s="5" t="n">
        <f aca="false">COUNTIFS($B$2:$B$191,B166,$D$2:$D$191,D166)</f>
        <v>1</v>
      </c>
    </row>
    <row r="167" customFormat="false" ht="15" hidden="false" customHeight="false" outlineLevel="0" collapsed="false">
      <c r="A167" s="5" t="n">
        <v>166</v>
      </c>
      <c r="B167" s="5" t="n">
        <v>1110</v>
      </c>
      <c r="C167" s="5" t="s">
        <v>47</v>
      </c>
      <c r="D167" s="7" t="n">
        <v>46196</v>
      </c>
      <c r="E167" s="5" t="s">
        <v>102</v>
      </c>
      <c r="F167" s="8" t="n">
        <v>2398.46</v>
      </c>
      <c r="G167" s="5" t="s">
        <v>64</v>
      </c>
      <c r="H167" s="5" t="s">
        <v>105</v>
      </c>
      <c r="I167" s="5" t="s">
        <v>27</v>
      </c>
      <c r="J167" s="5" t="s">
        <v>85</v>
      </c>
      <c r="K167" s="5" t="n">
        <f aca="false">IF(AND(G167="deposit",J167="branch",F167&gt;=8000,F167&lt;10000),1,0)</f>
        <v>0</v>
      </c>
      <c r="L167" s="5" t="n">
        <f aca="false">IF(AND(G167="wire_out",MOD(F167,1000)=0,OR(I167="AE",I167="HK",I167="CY",I167="PA")),1,0)</f>
        <v>0</v>
      </c>
      <c r="M167" s="5" t="n">
        <f aca="false">IF(G167="wire_in",IF(SUMPRODUCT(($B$2:$B$191=B167)*($G$2:$G$191="wire_out")*($D$2:$D$191&gt;=D167)*($D$2:$D$191&lt;=D167+1)*($F$2:$F$191&gt;=F167*0.9)*($F$2:$F$191&lt;=F167))&gt;0,1,0),0)</f>
        <v>0</v>
      </c>
      <c r="N167" s="5" t="n">
        <f aca="false">COUNTIFS($B$2:$B$191,B167,$D$2:$D$191,D167)</f>
        <v>1</v>
      </c>
    </row>
    <row r="168" customFormat="false" ht="15" hidden="false" customHeight="false" outlineLevel="0" collapsed="false">
      <c r="A168" s="5" t="n">
        <v>167</v>
      </c>
      <c r="B168" s="5" t="n">
        <v>1110</v>
      </c>
      <c r="C168" s="5" t="s">
        <v>47</v>
      </c>
      <c r="D168" s="7" t="n">
        <v>46220</v>
      </c>
      <c r="E168" s="5" t="s">
        <v>102</v>
      </c>
      <c r="F168" s="8" t="n">
        <v>918.72</v>
      </c>
      <c r="G168" s="5" t="s">
        <v>64</v>
      </c>
      <c r="H168" s="5" t="s">
        <v>72</v>
      </c>
      <c r="I168" s="5" t="s">
        <v>27</v>
      </c>
      <c r="J168" s="5" t="s">
        <v>85</v>
      </c>
      <c r="K168" s="5" t="n">
        <f aca="false">IF(AND(G168="deposit",J168="branch",F168&gt;=8000,F168&lt;10000),1,0)</f>
        <v>0</v>
      </c>
      <c r="L168" s="5" t="n">
        <f aca="false">IF(AND(G168="wire_out",MOD(F168,1000)=0,OR(I168="AE",I168="HK",I168="CY",I168="PA")),1,0)</f>
        <v>0</v>
      </c>
      <c r="M168" s="5" t="n">
        <f aca="false">IF(G168="wire_in",IF(SUMPRODUCT(($B$2:$B$191=B168)*($G$2:$G$191="wire_out")*($D$2:$D$191&gt;=D168)*($D$2:$D$191&lt;=D168+1)*($F$2:$F$191&gt;=F168*0.9)*($F$2:$F$191&lt;=F168))&gt;0,1,0),0)</f>
        <v>0</v>
      </c>
      <c r="N168" s="5" t="n">
        <f aca="false">COUNTIFS($B$2:$B$191,B168,$D$2:$D$191,D168)</f>
        <v>1</v>
      </c>
    </row>
    <row r="169" customFormat="false" ht="15" hidden="false" customHeight="false" outlineLevel="0" collapsed="false">
      <c r="A169" s="5" t="n">
        <v>168</v>
      </c>
      <c r="B169" s="5" t="n">
        <v>1110</v>
      </c>
      <c r="C169" s="5" t="s">
        <v>47</v>
      </c>
      <c r="D169" s="7" t="n">
        <v>46221</v>
      </c>
      <c r="E169" s="5" t="s">
        <v>102</v>
      </c>
      <c r="F169" s="8" t="n">
        <v>1460.82</v>
      </c>
      <c r="G169" s="5" t="s">
        <v>71</v>
      </c>
      <c r="H169" s="5" t="s">
        <v>72</v>
      </c>
      <c r="I169" s="5" t="s">
        <v>27</v>
      </c>
      <c r="J169" s="5" t="s">
        <v>73</v>
      </c>
      <c r="K169" s="5" t="n">
        <f aca="false">IF(AND(G169="deposit",J169="branch",F169&gt;=8000,F169&lt;10000),1,0)</f>
        <v>0</v>
      </c>
      <c r="L169" s="5" t="n">
        <f aca="false">IF(AND(G169="wire_out",MOD(F169,1000)=0,OR(I169="AE",I169="HK",I169="CY",I169="PA")),1,0)</f>
        <v>0</v>
      </c>
      <c r="M169" s="5" t="n">
        <f aca="false">IF(G169="wire_in",IF(SUMPRODUCT(($B$2:$B$191=B169)*($G$2:$G$191="wire_out")*($D$2:$D$191&gt;=D169)*($D$2:$D$191&lt;=D169+1)*($F$2:$F$191&gt;=F169*0.9)*($F$2:$F$191&lt;=F169))&gt;0,1,0),0)</f>
        <v>0</v>
      </c>
      <c r="N169" s="5" t="n">
        <f aca="false">COUNTIFS($B$2:$B$191,B169,$D$2:$D$191,D169)</f>
        <v>1</v>
      </c>
    </row>
    <row r="170" customFormat="false" ht="15" hidden="false" customHeight="false" outlineLevel="0" collapsed="false">
      <c r="A170" s="5" t="n">
        <v>169</v>
      </c>
      <c r="B170" s="5" t="n">
        <v>1110</v>
      </c>
      <c r="C170" s="5" t="s">
        <v>47</v>
      </c>
      <c r="D170" s="7" t="n">
        <v>46255</v>
      </c>
      <c r="E170" s="5" t="s">
        <v>102</v>
      </c>
      <c r="F170" s="8" t="n">
        <v>2875.36</v>
      </c>
      <c r="G170" s="5" t="s">
        <v>71</v>
      </c>
      <c r="H170" s="5" t="s">
        <v>103</v>
      </c>
      <c r="I170" s="5" t="s">
        <v>27</v>
      </c>
      <c r="J170" s="5" t="s">
        <v>85</v>
      </c>
      <c r="K170" s="5" t="n">
        <f aca="false">IF(AND(G170="deposit",J170="branch",F170&gt;=8000,F170&lt;10000),1,0)</f>
        <v>0</v>
      </c>
      <c r="L170" s="5" t="n">
        <f aca="false">IF(AND(G170="wire_out",MOD(F170,1000)=0,OR(I170="AE",I170="HK",I170="CY",I170="PA")),1,0)</f>
        <v>0</v>
      </c>
      <c r="M170" s="5" t="n">
        <f aca="false">IF(G170="wire_in",IF(SUMPRODUCT(($B$2:$B$191=B170)*($G$2:$G$191="wire_out")*($D$2:$D$191&gt;=D170)*($D$2:$D$191&lt;=D170+1)*($F$2:$F$191&gt;=F170*0.9)*($F$2:$F$191&lt;=F170))&gt;0,1,0),0)</f>
        <v>0</v>
      </c>
      <c r="N170" s="5" t="n">
        <f aca="false">COUNTIFS($B$2:$B$191,B170,$D$2:$D$191,D170)</f>
        <v>1</v>
      </c>
    </row>
    <row r="171" customFormat="false" ht="15" hidden="false" customHeight="false" outlineLevel="0" collapsed="false">
      <c r="A171" s="5" t="n">
        <v>170</v>
      </c>
      <c r="B171" s="5" t="n">
        <v>1110</v>
      </c>
      <c r="C171" s="5" t="s">
        <v>47</v>
      </c>
      <c r="D171" s="7" t="n">
        <v>46269</v>
      </c>
      <c r="E171" s="5" t="s">
        <v>102</v>
      </c>
      <c r="F171" s="8" t="n">
        <v>2248.82</v>
      </c>
      <c r="G171" s="5" t="s">
        <v>64</v>
      </c>
      <c r="H171" s="5" t="s">
        <v>103</v>
      </c>
      <c r="I171" s="5" t="s">
        <v>27</v>
      </c>
      <c r="J171" s="5" t="s">
        <v>73</v>
      </c>
      <c r="K171" s="5" t="n">
        <f aca="false">IF(AND(G171="deposit",J171="branch",F171&gt;=8000,F171&lt;10000),1,0)</f>
        <v>0</v>
      </c>
      <c r="L171" s="5" t="n">
        <f aca="false">IF(AND(G171="wire_out",MOD(F171,1000)=0,OR(I171="AE",I171="HK",I171="CY",I171="PA")),1,0)</f>
        <v>0</v>
      </c>
      <c r="M171" s="5" t="n">
        <f aca="false">IF(G171="wire_in",IF(SUMPRODUCT(($B$2:$B$191=B171)*($G$2:$G$191="wire_out")*($D$2:$D$191&gt;=D171)*($D$2:$D$191&lt;=D171+1)*($F$2:$F$191&gt;=F171*0.9)*($F$2:$F$191&lt;=F171))&gt;0,1,0),0)</f>
        <v>0</v>
      </c>
      <c r="N171" s="5" t="n">
        <f aca="false">COUNTIFS($B$2:$B$191,B171,$D$2:$D$191,D171)</f>
        <v>1</v>
      </c>
    </row>
    <row r="172" customFormat="false" ht="15" hidden="false" customHeight="false" outlineLevel="0" collapsed="false">
      <c r="A172" s="5" t="n">
        <v>171</v>
      </c>
      <c r="B172" s="5" t="n">
        <v>1120</v>
      </c>
      <c r="C172" s="5" t="s">
        <v>49</v>
      </c>
      <c r="D172" s="7" t="n">
        <v>46026</v>
      </c>
      <c r="E172" s="5" t="s">
        <v>106</v>
      </c>
      <c r="F172" s="8" t="n">
        <v>5810.14</v>
      </c>
      <c r="G172" s="5" t="s">
        <v>64</v>
      </c>
      <c r="H172" s="5" t="s">
        <v>107</v>
      </c>
      <c r="I172" s="5" t="s">
        <v>27</v>
      </c>
      <c r="J172" s="5" t="s">
        <v>78</v>
      </c>
      <c r="K172" s="5" t="n">
        <f aca="false">IF(AND(G172="deposit",J172="branch",F172&gt;=8000,F172&lt;10000),1,0)</f>
        <v>0</v>
      </c>
      <c r="L172" s="5" t="n">
        <f aca="false">IF(AND(G172="wire_out",MOD(F172,1000)=0,OR(I172="AE",I172="HK",I172="CY",I172="PA")),1,0)</f>
        <v>0</v>
      </c>
      <c r="M172" s="5" t="n">
        <f aca="false">IF(G172="wire_in",IF(SUMPRODUCT(($B$2:$B$191=B172)*($G$2:$G$191="wire_out")*($D$2:$D$191&gt;=D172)*($D$2:$D$191&lt;=D172+1)*($F$2:$F$191&gt;=F172*0.9)*($F$2:$F$191&lt;=F172))&gt;0,1,0),0)</f>
        <v>0</v>
      </c>
      <c r="N172" s="5" t="n">
        <f aca="false">COUNTIFS($B$2:$B$191,B172,$D$2:$D$191,D172)</f>
        <v>1</v>
      </c>
    </row>
    <row r="173" customFormat="false" ht="15" hidden="false" customHeight="false" outlineLevel="0" collapsed="false">
      <c r="A173" s="5" t="n">
        <v>172</v>
      </c>
      <c r="B173" s="5" t="n">
        <v>1120</v>
      </c>
      <c r="C173" s="5" t="s">
        <v>49</v>
      </c>
      <c r="D173" s="7" t="n">
        <v>46048</v>
      </c>
      <c r="E173" s="5" t="s">
        <v>106</v>
      </c>
      <c r="F173" s="8" t="n">
        <v>6744.71</v>
      </c>
      <c r="G173" s="5" t="s">
        <v>71</v>
      </c>
      <c r="H173" s="5" t="s">
        <v>107</v>
      </c>
      <c r="I173" s="5" t="s">
        <v>27</v>
      </c>
      <c r="J173" s="5" t="s">
        <v>78</v>
      </c>
      <c r="K173" s="5" t="n">
        <f aca="false">IF(AND(G173="deposit",J173="branch",F173&gt;=8000,F173&lt;10000),1,0)</f>
        <v>0</v>
      </c>
      <c r="L173" s="5" t="n">
        <f aca="false">IF(AND(G173="wire_out",MOD(F173,1000)=0,OR(I173="AE",I173="HK",I173="CY",I173="PA")),1,0)</f>
        <v>0</v>
      </c>
      <c r="M173" s="5" t="n">
        <f aca="false">IF(G173="wire_in",IF(SUMPRODUCT(($B$2:$B$191=B173)*($G$2:$G$191="wire_out")*($D$2:$D$191&gt;=D173)*($D$2:$D$191&lt;=D173+1)*($F$2:$F$191&gt;=F173*0.9)*($F$2:$F$191&lt;=F173))&gt;0,1,0),0)</f>
        <v>0</v>
      </c>
      <c r="N173" s="5" t="n">
        <f aca="false">COUNTIFS($B$2:$B$191,B173,$D$2:$D$191,D173)</f>
        <v>1</v>
      </c>
    </row>
    <row r="174" customFormat="false" ht="15" hidden="false" customHeight="false" outlineLevel="0" collapsed="false">
      <c r="A174" s="5" t="n">
        <v>173</v>
      </c>
      <c r="B174" s="5" t="n">
        <v>1120</v>
      </c>
      <c r="C174" s="5" t="s">
        <v>49</v>
      </c>
      <c r="D174" s="7" t="n">
        <v>46072</v>
      </c>
      <c r="E174" s="5" t="s">
        <v>106</v>
      </c>
      <c r="F174" s="8" t="n">
        <v>2122.88</v>
      </c>
      <c r="G174" s="5" t="s">
        <v>71</v>
      </c>
      <c r="H174" s="5" t="s">
        <v>107</v>
      </c>
      <c r="I174" s="5" t="s">
        <v>27</v>
      </c>
      <c r="J174" s="5" t="s">
        <v>78</v>
      </c>
      <c r="K174" s="5" t="n">
        <f aca="false">IF(AND(G174="deposit",J174="branch",F174&gt;=8000,F174&lt;10000),1,0)</f>
        <v>0</v>
      </c>
      <c r="L174" s="5" t="n">
        <f aca="false">IF(AND(G174="wire_out",MOD(F174,1000)=0,OR(I174="AE",I174="HK",I174="CY",I174="PA")),1,0)</f>
        <v>0</v>
      </c>
      <c r="M174" s="5" t="n">
        <f aca="false">IF(G174="wire_in",IF(SUMPRODUCT(($B$2:$B$191=B174)*($G$2:$G$191="wire_out")*($D$2:$D$191&gt;=D174)*($D$2:$D$191&lt;=D174+1)*($F$2:$F$191&gt;=F174*0.9)*($F$2:$F$191&lt;=F174))&gt;0,1,0),0)</f>
        <v>0</v>
      </c>
      <c r="N174" s="5" t="n">
        <f aca="false">COUNTIFS($B$2:$B$191,B174,$D$2:$D$191,D174)</f>
        <v>1</v>
      </c>
    </row>
    <row r="175" customFormat="false" ht="15" hidden="false" customHeight="false" outlineLevel="0" collapsed="false">
      <c r="A175" s="5" t="n">
        <v>174</v>
      </c>
      <c r="B175" s="5" t="n">
        <v>1120</v>
      </c>
      <c r="C175" s="5" t="s">
        <v>49</v>
      </c>
      <c r="D175" s="7" t="n">
        <v>46079</v>
      </c>
      <c r="E175" s="5" t="s">
        <v>106</v>
      </c>
      <c r="F175" s="8" t="n">
        <v>3533.01</v>
      </c>
      <c r="G175" s="5" t="s">
        <v>64</v>
      </c>
      <c r="H175" s="5" t="s">
        <v>107</v>
      </c>
      <c r="I175" s="5" t="s">
        <v>27</v>
      </c>
      <c r="J175" s="5" t="s">
        <v>78</v>
      </c>
      <c r="K175" s="5" t="n">
        <f aca="false">IF(AND(G175="deposit",J175="branch",F175&gt;=8000,F175&lt;10000),1,0)</f>
        <v>0</v>
      </c>
      <c r="L175" s="5" t="n">
        <f aca="false">IF(AND(G175="wire_out",MOD(F175,1000)=0,OR(I175="AE",I175="HK",I175="CY",I175="PA")),1,0)</f>
        <v>0</v>
      </c>
      <c r="M175" s="5" t="n">
        <f aca="false">IF(G175="wire_in",IF(SUMPRODUCT(($B$2:$B$191=B175)*($G$2:$G$191="wire_out")*($D$2:$D$191&gt;=D175)*($D$2:$D$191&lt;=D175+1)*($F$2:$F$191&gt;=F175*0.9)*($F$2:$F$191&lt;=F175))&gt;0,1,0),0)</f>
        <v>0</v>
      </c>
      <c r="N175" s="5" t="n">
        <f aca="false">COUNTIFS($B$2:$B$191,B175,$D$2:$D$191,D175)</f>
        <v>1</v>
      </c>
    </row>
    <row r="176" customFormat="false" ht="15" hidden="false" customHeight="false" outlineLevel="0" collapsed="false">
      <c r="A176" s="5" t="n">
        <v>175</v>
      </c>
      <c r="B176" s="5" t="n">
        <v>1120</v>
      </c>
      <c r="C176" s="5" t="s">
        <v>49</v>
      </c>
      <c r="D176" s="7" t="n">
        <v>46081</v>
      </c>
      <c r="E176" s="5" t="s">
        <v>106</v>
      </c>
      <c r="F176" s="8" t="n">
        <v>3206.61</v>
      </c>
      <c r="G176" s="5" t="s">
        <v>71</v>
      </c>
      <c r="H176" s="5" t="s">
        <v>107</v>
      </c>
      <c r="I176" s="5" t="s">
        <v>27</v>
      </c>
      <c r="J176" s="5" t="s">
        <v>78</v>
      </c>
      <c r="K176" s="5" t="n">
        <f aca="false">IF(AND(G176="deposit",J176="branch",F176&gt;=8000,F176&lt;10000),1,0)</f>
        <v>0</v>
      </c>
      <c r="L176" s="5" t="n">
        <f aca="false">IF(AND(G176="wire_out",MOD(F176,1000)=0,OR(I176="AE",I176="HK",I176="CY",I176="PA")),1,0)</f>
        <v>0</v>
      </c>
      <c r="M176" s="5" t="n">
        <f aca="false">IF(G176="wire_in",IF(SUMPRODUCT(($B$2:$B$191=B176)*($G$2:$G$191="wire_out")*($D$2:$D$191&gt;=D176)*($D$2:$D$191&lt;=D176+1)*($F$2:$F$191&gt;=F176*0.9)*($F$2:$F$191&lt;=F176))&gt;0,1,0),0)</f>
        <v>0</v>
      </c>
      <c r="N176" s="5" t="n">
        <f aca="false">COUNTIFS($B$2:$B$191,B176,$D$2:$D$191,D176)</f>
        <v>1</v>
      </c>
    </row>
    <row r="177" customFormat="false" ht="15" hidden="false" customHeight="false" outlineLevel="0" collapsed="false">
      <c r="A177" s="5" t="n">
        <v>176</v>
      </c>
      <c r="B177" s="5" t="n">
        <v>1120</v>
      </c>
      <c r="C177" s="5" t="s">
        <v>49</v>
      </c>
      <c r="D177" s="7" t="n">
        <v>46084</v>
      </c>
      <c r="E177" s="5" t="s">
        <v>106</v>
      </c>
      <c r="F177" s="8" t="n">
        <v>5900.56</v>
      </c>
      <c r="G177" s="5" t="s">
        <v>71</v>
      </c>
      <c r="H177" s="5" t="s">
        <v>107</v>
      </c>
      <c r="I177" s="5" t="s">
        <v>27</v>
      </c>
      <c r="J177" s="5" t="s">
        <v>78</v>
      </c>
      <c r="K177" s="5" t="n">
        <f aca="false">IF(AND(G177="deposit",J177="branch",F177&gt;=8000,F177&lt;10000),1,0)</f>
        <v>0</v>
      </c>
      <c r="L177" s="5" t="n">
        <f aca="false">IF(AND(G177="wire_out",MOD(F177,1000)=0,OR(I177="AE",I177="HK",I177="CY",I177="PA")),1,0)</f>
        <v>0</v>
      </c>
      <c r="M177" s="5" t="n">
        <f aca="false">IF(G177="wire_in",IF(SUMPRODUCT(($B$2:$B$191=B177)*($G$2:$G$191="wire_out")*($D$2:$D$191&gt;=D177)*($D$2:$D$191&lt;=D177+1)*($F$2:$F$191&gt;=F177*0.9)*($F$2:$F$191&lt;=F177))&gt;0,1,0),0)</f>
        <v>0</v>
      </c>
      <c r="N177" s="5" t="n">
        <f aca="false">COUNTIFS($B$2:$B$191,B177,$D$2:$D$191,D177)</f>
        <v>1</v>
      </c>
    </row>
    <row r="178" customFormat="false" ht="15" hidden="false" customHeight="false" outlineLevel="0" collapsed="false">
      <c r="A178" s="5" t="n">
        <v>177</v>
      </c>
      <c r="B178" s="5" t="n">
        <v>1120</v>
      </c>
      <c r="C178" s="5" t="s">
        <v>49</v>
      </c>
      <c r="D178" s="7" t="n">
        <v>46093</v>
      </c>
      <c r="E178" s="5" t="s">
        <v>106</v>
      </c>
      <c r="F178" s="8" t="n">
        <v>5934.39</v>
      </c>
      <c r="G178" s="5" t="s">
        <v>71</v>
      </c>
      <c r="H178" s="5" t="s">
        <v>107</v>
      </c>
      <c r="I178" s="5" t="s">
        <v>27</v>
      </c>
      <c r="J178" s="5" t="s">
        <v>78</v>
      </c>
      <c r="K178" s="5" t="n">
        <f aca="false">IF(AND(G178="deposit",J178="branch",F178&gt;=8000,F178&lt;10000),1,0)</f>
        <v>0</v>
      </c>
      <c r="L178" s="5" t="n">
        <f aca="false">IF(AND(G178="wire_out",MOD(F178,1000)=0,OR(I178="AE",I178="HK",I178="CY",I178="PA")),1,0)</f>
        <v>0</v>
      </c>
      <c r="M178" s="5" t="n">
        <f aca="false">IF(G178="wire_in",IF(SUMPRODUCT(($B$2:$B$191=B178)*($G$2:$G$191="wire_out")*($D$2:$D$191&gt;=D178)*($D$2:$D$191&lt;=D178+1)*($F$2:$F$191&gt;=F178*0.9)*($F$2:$F$191&lt;=F178))&gt;0,1,0),0)</f>
        <v>0</v>
      </c>
      <c r="N178" s="5" t="n">
        <f aca="false">COUNTIFS($B$2:$B$191,B178,$D$2:$D$191,D178)</f>
        <v>2</v>
      </c>
    </row>
    <row r="179" customFormat="false" ht="15" hidden="false" customHeight="false" outlineLevel="0" collapsed="false">
      <c r="A179" s="5" t="n">
        <v>178</v>
      </c>
      <c r="B179" s="5" t="n">
        <v>1120</v>
      </c>
      <c r="C179" s="5" t="s">
        <v>49</v>
      </c>
      <c r="D179" s="7" t="n">
        <v>46093</v>
      </c>
      <c r="E179" s="5" t="s">
        <v>106</v>
      </c>
      <c r="F179" s="8" t="n">
        <v>841.37</v>
      </c>
      <c r="G179" s="5" t="s">
        <v>64</v>
      </c>
      <c r="H179" s="5" t="s">
        <v>107</v>
      </c>
      <c r="I179" s="5" t="s">
        <v>27</v>
      </c>
      <c r="J179" s="5" t="s">
        <v>78</v>
      </c>
      <c r="K179" s="5" t="n">
        <f aca="false">IF(AND(G179="deposit",J179="branch",F179&gt;=8000,F179&lt;10000),1,0)</f>
        <v>0</v>
      </c>
      <c r="L179" s="5" t="n">
        <f aca="false">IF(AND(G179="wire_out",MOD(F179,1000)=0,OR(I179="AE",I179="HK",I179="CY",I179="PA")),1,0)</f>
        <v>0</v>
      </c>
      <c r="M179" s="5" t="n">
        <f aca="false">IF(G179="wire_in",IF(SUMPRODUCT(($B$2:$B$191=B179)*($G$2:$G$191="wire_out")*($D$2:$D$191&gt;=D179)*($D$2:$D$191&lt;=D179+1)*($F$2:$F$191&gt;=F179*0.9)*($F$2:$F$191&lt;=F179))&gt;0,1,0),0)</f>
        <v>0</v>
      </c>
      <c r="N179" s="5" t="n">
        <f aca="false">COUNTIFS($B$2:$B$191,B179,$D$2:$D$191,D179)</f>
        <v>2</v>
      </c>
    </row>
    <row r="180" customFormat="false" ht="15" hidden="false" customHeight="false" outlineLevel="0" collapsed="false">
      <c r="A180" s="5" t="n">
        <v>179</v>
      </c>
      <c r="B180" s="5" t="n">
        <v>1120</v>
      </c>
      <c r="C180" s="5" t="s">
        <v>49</v>
      </c>
      <c r="D180" s="7" t="n">
        <v>46101</v>
      </c>
      <c r="E180" s="5" t="s">
        <v>106</v>
      </c>
      <c r="F180" s="8" t="n">
        <v>5479.7</v>
      </c>
      <c r="G180" s="5" t="s">
        <v>71</v>
      </c>
      <c r="H180" s="5" t="s">
        <v>107</v>
      </c>
      <c r="I180" s="5" t="s">
        <v>27</v>
      </c>
      <c r="J180" s="5" t="s">
        <v>78</v>
      </c>
      <c r="K180" s="5" t="n">
        <f aca="false">IF(AND(G180="deposit",J180="branch",F180&gt;=8000,F180&lt;10000),1,0)</f>
        <v>0</v>
      </c>
      <c r="L180" s="5" t="n">
        <f aca="false">IF(AND(G180="wire_out",MOD(F180,1000)=0,OR(I180="AE",I180="HK",I180="CY",I180="PA")),1,0)</f>
        <v>0</v>
      </c>
      <c r="M180" s="5" t="n">
        <f aca="false">IF(G180="wire_in",IF(SUMPRODUCT(($B$2:$B$191=B180)*($G$2:$G$191="wire_out")*($D$2:$D$191&gt;=D180)*($D$2:$D$191&lt;=D180+1)*($F$2:$F$191&gt;=F180*0.9)*($F$2:$F$191&lt;=F180))&gt;0,1,0),0)</f>
        <v>0</v>
      </c>
      <c r="N180" s="5" t="n">
        <f aca="false">COUNTIFS($B$2:$B$191,B180,$D$2:$D$191,D180)</f>
        <v>2</v>
      </c>
    </row>
    <row r="181" customFormat="false" ht="15" hidden="false" customHeight="false" outlineLevel="0" collapsed="false">
      <c r="A181" s="5" t="n">
        <v>180</v>
      </c>
      <c r="B181" s="5" t="n">
        <v>1120</v>
      </c>
      <c r="C181" s="5" t="s">
        <v>49</v>
      </c>
      <c r="D181" s="7" t="n">
        <v>46101</v>
      </c>
      <c r="E181" s="5" t="s">
        <v>106</v>
      </c>
      <c r="F181" s="8" t="n">
        <v>2385.53</v>
      </c>
      <c r="G181" s="5" t="s">
        <v>64</v>
      </c>
      <c r="H181" s="5" t="s">
        <v>107</v>
      </c>
      <c r="I181" s="5" t="s">
        <v>27</v>
      </c>
      <c r="J181" s="5" t="s">
        <v>78</v>
      </c>
      <c r="K181" s="5" t="n">
        <f aca="false">IF(AND(G181="deposit",J181="branch",F181&gt;=8000,F181&lt;10000),1,0)</f>
        <v>0</v>
      </c>
      <c r="L181" s="5" t="n">
        <f aca="false">IF(AND(G181="wire_out",MOD(F181,1000)=0,OR(I181="AE",I181="HK",I181="CY",I181="PA")),1,0)</f>
        <v>0</v>
      </c>
      <c r="M181" s="5" t="n">
        <f aca="false">IF(G181="wire_in",IF(SUMPRODUCT(($B$2:$B$191=B181)*($G$2:$G$191="wire_out")*($D$2:$D$191&gt;=D181)*($D$2:$D$191&lt;=D181+1)*($F$2:$F$191&gt;=F181*0.9)*($F$2:$F$191&lt;=F181))&gt;0,1,0),0)</f>
        <v>0</v>
      </c>
      <c r="N181" s="5" t="n">
        <f aca="false">COUNTIFS($B$2:$B$191,B181,$D$2:$D$191,D181)</f>
        <v>2</v>
      </c>
    </row>
    <row r="182" customFormat="false" ht="15" hidden="false" customHeight="false" outlineLevel="0" collapsed="false">
      <c r="A182" s="5" t="n">
        <v>181</v>
      </c>
      <c r="B182" s="5" t="n">
        <v>1120</v>
      </c>
      <c r="C182" s="5" t="s">
        <v>49</v>
      </c>
      <c r="D182" s="7" t="n">
        <v>46113</v>
      </c>
      <c r="E182" s="5" t="s">
        <v>106</v>
      </c>
      <c r="F182" s="8" t="n">
        <v>5771.41</v>
      </c>
      <c r="G182" s="5" t="s">
        <v>71</v>
      </c>
      <c r="H182" s="5" t="s">
        <v>107</v>
      </c>
      <c r="I182" s="5" t="s">
        <v>27</v>
      </c>
      <c r="J182" s="5" t="s">
        <v>78</v>
      </c>
      <c r="K182" s="5" t="n">
        <f aca="false">IF(AND(G182="deposit",J182="branch",F182&gt;=8000,F182&lt;10000),1,0)</f>
        <v>0</v>
      </c>
      <c r="L182" s="5" t="n">
        <f aca="false">IF(AND(G182="wire_out",MOD(F182,1000)=0,OR(I182="AE",I182="HK",I182="CY",I182="PA")),1,0)</f>
        <v>0</v>
      </c>
      <c r="M182" s="5" t="n">
        <f aca="false">IF(G182="wire_in",IF(SUMPRODUCT(($B$2:$B$191=B182)*($G$2:$G$191="wire_out")*($D$2:$D$191&gt;=D182)*($D$2:$D$191&lt;=D182+1)*($F$2:$F$191&gt;=F182*0.9)*($F$2:$F$191&lt;=F182))&gt;0,1,0),0)</f>
        <v>0</v>
      </c>
      <c r="N182" s="5" t="n">
        <f aca="false">COUNTIFS($B$2:$B$191,B182,$D$2:$D$191,D182)</f>
        <v>1</v>
      </c>
    </row>
    <row r="183" customFormat="false" ht="15" hidden="false" customHeight="false" outlineLevel="0" collapsed="false">
      <c r="A183" s="5" t="n">
        <v>182</v>
      </c>
      <c r="B183" s="5" t="n">
        <v>1120</v>
      </c>
      <c r="C183" s="5" t="s">
        <v>49</v>
      </c>
      <c r="D183" s="7" t="n">
        <v>46131</v>
      </c>
      <c r="E183" s="5" t="s">
        <v>106</v>
      </c>
      <c r="F183" s="8" t="n">
        <v>7974.74</v>
      </c>
      <c r="G183" s="5" t="s">
        <v>71</v>
      </c>
      <c r="H183" s="5" t="s">
        <v>107</v>
      </c>
      <c r="I183" s="5" t="s">
        <v>27</v>
      </c>
      <c r="J183" s="5" t="s">
        <v>78</v>
      </c>
      <c r="K183" s="5" t="n">
        <f aca="false">IF(AND(G183="deposit",J183="branch",F183&gt;=8000,F183&lt;10000),1,0)</f>
        <v>0</v>
      </c>
      <c r="L183" s="5" t="n">
        <f aca="false">IF(AND(G183="wire_out",MOD(F183,1000)=0,OR(I183="AE",I183="HK",I183="CY",I183="PA")),1,0)</f>
        <v>0</v>
      </c>
      <c r="M183" s="5" t="n">
        <f aca="false">IF(G183="wire_in",IF(SUMPRODUCT(($B$2:$B$191=B183)*($G$2:$G$191="wire_out")*($D$2:$D$191&gt;=D183)*($D$2:$D$191&lt;=D183+1)*($F$2:$F$191&gt;=F183*0.9)*($F$2:$F$191&lt;=F183))&gt;0,1,0),0)</f>
        <v>0</v>
      </c>
      <c r="N183" s="5" t="n">
        <f aca="false">COUNTIFS($B$2:$B$191,B183,$D$2:$D$191,D183)</f>
        <v>1</v>
      </c>
    </row>
    <row r="184" customFormat="false" ht="15" hidden="false" customHeight="false" outlineLevel="0" collapsed="false">
      <c r="A184" s="5" t="n">
        <v>183</v>
      </c>
      <c r="B184" s="5" t="n">
        <v>1120</v>
      </c>
      <c r="C184" s="5" t="s">
        <v>49</v>
      </c>
      <c r="D184" s="7" t="n">
        <v>46144</v>
      </c>
      <c r="E184" s="5" t="s">
        <v>106</v>
      </c>
      <c r="F184" s="8" t="n">
        <v>4651.05</v>
      </c>
      <c r="G184" s="5" t="s">
        <v>71</v>
      </c>
      <c r="H184" s="5" t="s">
        <v>107</v>
      </c>
      <c r="I184" s="5" t="s">
        <v>27</v>
      </c>
      <c r="J184" s="5" t="s">
        <v>78</v>
      </c>
      <c r="K184" s="5" t="n">
        <f aca="false">IF(AND(G184="deposit",J184="branch",F184&gt;=8000,F184&lt;10000),1,0)</f>
        <v>0</v>
      </c>
      <c r="L184" s="5" t="n">
        <f aca="false">IF(AND(G184="wire_out",MOD(F184,1000)=0,OR(I184="AE",I184="HK",I184="CY",I184="PA")),1,0)</f>
        <v>0</v>
      </c>
      <c r="M184" s="5" t="n">
        <f aca="false">IF(G184="wire_in",IF(SUMPRODUCT(($B$2:$B$191=B184)*($G$2:$G$191="wire_out")*($D$2:$D$191&gt;=D184)*($D$2:$D$191&lt;=D184+1)*($F$2:$F$191&gt;=F184*0.9)*($F$2:$F$191&lt;=F184))&gt;0,1,0),0)</f>
        <v>0</v>
      </c>
      <c r="N184" s="5" t="n">
        <f aca="false">COUNTIFS($B$2:$B$191,B184,$D$2:$D$191,D184)</f>
        <v>1</v>
      </c>
    </row>
    <row r="185" customFormat="false" ht="15" hidden="false" customHeight="false" outlineLevel="0" collapsed="false">
      <c r="A185" s="5" t="n">
        <v>184</v>
      </c>
      <c r="B185" s="5" t="n">
        <v>1120</v>
      </c>
      <c r="C185" s="5" t="s">
        <v>49</v>
      </c>
      <c r="D185" s="7" t="n">
        <v>46155</v>
      </c>
      <c r="E185" s="5" t="s">
        <v>106</v>
      </c>
      <c r="F185" s="8" t="n">
        <v>7610.47</v>
      </c>
      <c r="G185" s="5" t="s">
        <v>64</v>
      </c>
      <c r="H185" s="5" t="s">
        <v>107</v>
      </c>
      <c r="I185" s="5" t="s">
        <v>27</v>
      </c>
      <c r="J185" s="5" t="s">
        <v>78</v>
      </c>
      <c r="K185" s="5" t="n">
        <f aca="false">IF(AND(G185="deposit",J185="branch",F185&gt;=8000,F185&lt;10000),1,0)</f>
        <v>0</v>
      </c>
      <c r="L185" s="5" t="n">
        <f aca="false">IF(AND(G185="wire_out",MOD(F185,1000)=0,OR(I185="AE",I185="HK",I185="CY",I185="PA")),1,0)</f>
        <v>0</v>
      </c>
      <c r="M185" s="5" t="n">
        <f aca="false">IF(G185="wire_in",IF(SUMPRODUCT(($B$2:$B$191=B185)*($G$2:$G$191="wire_out")*($D$2:$D$191&gt;=D185)*($D$2:$D$191&lt;=D185+1)*($F$2:$F$191&gt;=F185*0.9)*($F$2:$F$191&lt;=F185))&gt;0,1,0),0)</f>
        <v>0</v>
      </c>
      <c r="N185" s="5" t="n">
        <f aca="false">COUNTIFS($B$2:$B$191,B185,$D$2:$D$191,D185)</f>
        <v>1</v>
      </c>
    </row>
    <row r="186" customFormat="false" ht="15" hidden="false" customHeight="false" outlineLevel="0" collapsed="false">
      <c r="A186" s="5" t="n">
        <v>185</v>
      </c>
      <c r="B186" s="5" t="n">
        <v>1120</v>
      </c>
      <c r="C186" s="5" t="s">
        <v>49</v>
      </c>
      <c r="D186" s="7" t="n">
        <v>46165</v>
      </c>
      <c r="E186" s="5" t="s">
        <v>106</v>
      </c>
      <c r="F186" s="8" t="n">
        <v>6186.23</v>
      </c>
      <c r="G186" s="5" t="s">
        <v>71</v>
      </c>
      <c r="H186" s="5" t="s">
        <v>107</v>
      </c>
      <c r="I186" s="5" t="s">
        <v>27</v>
      </c>
      <c r="J186" s="5" t="s">
        <v>78</v>
      </c>
      <c r="K186" s="5" t="n">
        <f aca="false">IF(AND(G186="deposit",J186="branch",F186&gt;=8000,F186&lt;10000),1,0)</f>
        <v>0</v>
      </c>
      <c r="L186" s="5" t="n">
        <f aca="false">IF(AND(G186="wire_out",MOD(F186,1000)=0,OR(I186="AE",I186="HK",I186="CY",I186="PA")),1,0)</f>
        <v>0</v>
      </c>
      <c r="M186" s="5" t="n">
        <f aca="false">IF(G186="wire_in",IF(SUMPRODUCT(($B$2:$B$191=B186)*($G$2:$G$191="wire_out")*($D$2:$D$191&gt;=D186)*($D$2:$D$191&lt;=D186+1)*($F$2:$F$191&gt;=F186*0.9)*($F$2:$F$191&lt;=F186))&gt;0,1,0),0)</f>
        <v>0</v>
      </c>
      <c r="N186" s="5" t="n">
        <f aca="false">COUNTIFS($B$2:$B$191,B186,$D$2:$D$191,D186)</f>
        <v>1</v>
      </c>
    </row>
    <row r="187" customFormat="false" ht="15" hidden="false" customHeight="false" outlineLevel="0" collapsed="false">
      <c r="A187" s="5" t="n">
        <v>186</v>
      </c>
      <c r="B187" s="5" t="n">
        <v>1120</v>
      </c>
      <c r="C187" s="5" t="s">
        <v>49</v>
      </c>
      <c r="D187" s="7" t="n">
        <v>46188</v>
      </c>
      <c r="E187" s="5" t="s">
        <v>106</v>
      </c>
      <c r="F187" s="8" t="n">
        <v>5838.82</v>
      </c>
      <c r="G187" s="5" t="s">
        <v>71</v>
      </c>
      <c r="H187" s="5" t="s">
        <v>107</v>
      </c>
      <c r="I187" s="5" t="s">
        <v>27</v>
      </c>
      <c r="J187" s="5" t="s">
        <v>78</v>
      </c>
      <c r="K187" s="5" t="n">
        <f aca="false">IF(AND(G187="deposit",J187="branch",F187&gt;=8000,F187&lt;10000),1,0)</f>
        <v>0</v>
      </c>
      <c r="L187" s="5" t="n">
        <f aca="false">IF(AND(G187="wire_out",MOD(F187,1000)=0,OR(I187="AE",I187="HK",I187="CY",I187="PA")),1,0)</f>
        <v>0</v>
      </c>
      <c r="M187" s="5" t="n">
        <f aca="false">IF(G187="wire_in",IF(SUMPRODUCT(($B$2:$B$191=B187)*($G$2:$G$191="wire_out")*($D$2:$D$191&gt;=D187)*($D$2:$D$191&lt;=D187+1)*($F$2:$F$191&gt;=F187*0.9)*($F$2:$F$191&lt;=F187))&gt;0,1,0),0)</f>
        <v>0</v>
      </c>
      <c r="N187" s="5" t="n">
        <f aca="false">COUNTIFS($B$2:$B$191,B187,$D$2:$D$191,D187)</f>
        <v>1</v>
      </c>
    </row>
    <row r="188" customFormat="false" ht="15" hidden="false" customHeight="false" outlineLevel="0" collapsed="false">
      <c r="A188" s="5" t="n">
        <v>187</v>
      </c>
      <c r="B188" s="5" t="n">
        <v>1120</v>
      </c>
      <c r="C188" s="5" t="s">
        <v>49</v>
      </c>
      <c r="D188" s="7" t="n">
        <v>46202</v>
      </c>
      <c r="E188" s="5" t="s">
        <v>106</v>
      </c>
      <c r="F188" s="8" t="n">
        <v>7100.81</v>
      </c>
      <c r="G188" s="5" t="s">
        <v>64</v>
      </c>
      <c r="H188" s="5" t="s">
        <v>107</v>
      </c>
      <c r="I188" s="5" t="s">
        <v>27</v>
      </c>
      <c r="J188" s="5" t="s">
        <v>78</v>
      </c>
      <c r="K188" s="5" t="n">
        <f aca="false">IF(AND(G188="deposit",J188="branch",F188&gt;=8000,F188&lt;10000),1,0)</f>
        <v>0</v>
      </c>
      <c r="L188" s="5" t="n">
        <f aca="false">IF(AND(G188="wire_out",MOD(F188,1000)=0,OR(I188="AE",I188="HK",I188="CY",I188="PA")),1,0)</f>
        <v>0</v>
      </c>
      <c r="M188" s="5" t="n">
        <f aca="false">IF(G188="wire_in",IF(SUMPRODUCT(($B$2:$B$191=B188)*($G$2:$G$191="wire_out")*($D$2:$D$191&gt;=D188)*($D$2:$D$191&lt;=D188+1)*($F$2:$F$191&gt;=F188*0.9)*($F$2:$F$191&lt;=F188))&gt;0,1,0),0)</f>
        <v>0</v>
      </c>
      <c r="N188" s="5" t="n">
        <f aca="false">COUNTIFS($B$2:$B$191,B188,$D$2:$D$191,D188)</f>
        <v>1</v>
      </c>
    </row>
    <row r="189" customFormat="false" ht="15" hidden="false" customHeight="false" outlineLevel="0" collapsed="false">
      <c r="A189" s="5" t="n">
        <v>188</v>
      </c>
      <c r="B189" s="5" t="n">
        <v>1120</v>
      </c>
      <c r="C189" s="5" t="s">
        <v>49</v>
      </c>
      <c r="D189" s="7" t="n">
        <v>46207</v>
      </c>
      <c r="E189" s="5" t="s">
        <v>106</v>
      </c>
      <c r="F189" s="8" t="n">
        <v>1944.38</v>
      </c>
      <c r="G189" s="5" t="s">
        <v>64</v>
      </c>
      <c r="H189" s="5" t="s">
        <v>107</v>
      </c>
      <c r="I189" s="5" t="s">
        <v>27</v>
      </c>
      <c r="J189" s="5" t="s">
        <v>78</v>
      </c>
      <c r="K189" s="5" t="n">
        <f aca="false">IF(AND(G189="deposit",J189="branch",F189&gt;=8000,F189&lt;10000),1,0)</f>
        <v>0</v>
      </c>
      <c r="L189" s="5" t="n">
        <f aca="false">IF(AND(G189="wire_out",MOD(F189,1000)=0,OR(I189="AE",I189="HK",I189="CY",I189="PA")),1,0)</f>
        <v>0</v>
      </c>
      <c r="M189" s="5" t="n">
        <f aca="false">IF(G189="wire_in",IF(SUMPRODUCT(($B$2:$B$191=B189)*($G$2:$G$191="wire_out")*($D$2:$D$191&gt;=D189)*($D$2:$D$191&lt;=D189+1)*($F$2:$F$191&gt;=F189*0.9)*($F$2:$F$191&lt;=F189))&gt;0,1,0),0)</f>
        <v>0</v>
      </c>
      <c r="N189" s="5" t="n">
        <f aca="false">COUNTIFS($B$2:$B$191,B189,$D$2:$D$191,D189)</f>
        <v>1</v>
      </c>
    </row>
    <row r="190" customFormat="false" ht="15" hidden="false" customHeight="false" outlineLevel="0" collapsed="false">
      <c r="A190" s="5" t="n">
        <v>189</v>
      </c>
      <c r="B190" s="5" t="n">
        <v>1120</v>
      </c>
      <c r="C190" s="5" t="s">
        <v>49</v>
      </c>
      <c r="D190" s="7" t="n">
        <v>46213</v>
      </c>
      <c r="E190" s="5" t="s">
        <v>106</v>
      </c>
      <c r="F190" s="8" t="n">
        <v>4518.98</v>
      </c>
      <c r="G190" s="5" t="s">
        <v>64</v>
      </c>
      <c r="H190" s="5" t="s">
        <v>107</v>
      </c>
      <c r="I190" s="5" t="s">
        <v>27</v>
      </c>
      <c r="J190" s="5" t="s">
        <v>78</v>
      </c>
      <c r="K190" s="5" t="n">
        <f aca="false">IF(AND(G190="deposit",J190="branch",F190&gt;=8000,F190&lt;10000),1,0)</f>
        <v>0</v>
      </c>
      <c r="L190" s="5" t="n">
        <f aca="false">IF(AND(G190="wire_out",MOD(F190,1000)=0,OR(I190="AE",I190="HK",I190="CY",I190="PA")),1,0)</f>
        <v>0</v>
      </c>
      <c r="M190" s="5" t="n">
        <f aca="false">IF(G190="wire_in",IF(SUMPRODUCT(($B$2:$B$191=B190)*($G$2:$G$191="wire_out")*($D$2:$D$191&gt;=D190)*($D$2:$D$191&lt;=D190+1)*($F$2:$F$191&gt;=F190*0.9)*($F$2:$F$191&lt;=F190))&gt;0,1,0),0)</f>
        <v>0</v>
      </c>
      <c r="N190" s="5" t="n">
        <f aca="false">COUNTIFS($B$2:$B$191,B190,$D$2:$D$191,D190)</f>
        <v>1</v>
      </c>
    </row>
    <row r="191" customFormat="false" ht="15" hidden="false" customHeight="false" outlineLevel="0" collapsed="false">
      <c r="A191" s="5" t="n">
        <v>190</v>
      </c>
      <c r="B191" s="5" t="n">
        <v>1120</v>
      </c>
      <c r="C191" s="5" t="s">
        <v>49</v>
      </c>
      <c r="D191" s="7" t="n">
        <v>46225</v>
      </c>
      <c r="E191" s="5" t="s">
        <v>106</v>
      </c>
      <c r="F191" s="8" t="n">
        <v>629.32</v>
      </c>
      <c r="G191" s="5" t="s">
        <v>71</v>
      </c>
      <c r="H191" s="5" t="s">
        <v>107</v>
      </c>
      <c r="I191" s="5" t="s">
        <v>27</v>
      </c>
      <c r="J191" s="5" t="s">
        <v>78</v>
      </c>
      <c r="K191" s="5" t="n">
        <f aca="false">IF(AND(G191="deposit",J191="branch",F191&gt;=8000,F191&lt;10000),1,0)</f>
        <v>0</v>
      </c>
      <c r="L191" s="5" t="n">
        <f aca="false">IF(AND(G191="wire_out",MOD(F191,1000)=0,OR(I191="AE",I191="HK",I191="CY",I191="PA")),1,0)</f>
        <v>0</v>
      </c>
      <c r="M191" s="5" t="n">
        <f aca="false">IF(G191="wire_in",IF(SUMPRODUCT(($B$2:$B$191=B191)*($G$2:$G$191="wire_out")*($D$2:$D$191&gt;=D191)*($D$2:$D$191&lt;=D191+1)*($F$2:$F$191&gt;=F191*0.9)*($F$2:$F$191&lt;=F191))&gt;0,1,0),0)</f>
        <v>0</v>
      </c>
      <c r="N191" s="5" t="n">
        <f aca="false">COUNTIFS($B$2:$B$191,B191,$D$2:$D$191,D191)</f>
        <v>1</v>
      </c>
    </row>
  </sheetData>
  <conditionalFormatting sqref="A2:N191">
    <cfRule type="expression" priority="2" aboveAverage="0" equalAverage="0" bottom="0" percent="0" rank="0" text="" dxfId="0">
      <formula>$K2=1</formula>
    </cfRule>
    <cfRule type="expression" priority="3" aboveAverage="0" equalAverage="0" bottom="0" percent="0" rank="0" text="" dxfId="0">
      <formula>$L2=1</formula>
    </cfRule>
    <cfRule type="expression" priority="4" aboveAverage="0" equalAverage="0" bottom="0" percent="0" rank="0" text="" dxfId="0">
      <formula>$M2=1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8"/>
    <col collapsed="false" customWidth="true" hidden="false" outlineLevel="0" max="6" min="4" style="1" width="14"/>
    <col collapsed="false" customWidth="true" hidden="false" outlineLevel="0" max="7" min="7" style="1" width="13"/>
    <col collapsed="false" customWidth="true" hidden="false" outlineLevel="0" max="8" min="8" style="1" width="10"/>
    <col collapsed="false" customWidth="true" hidden="false" outlineLevel="0" max="9" min="9" style="1" width="26"/>
  </cols>
  <sheetData>
    <row r="1" customFormat="false" ht="23.85" hidden="false" customHeight="false" outlineLevel="0" collapsed="false">
      <c r="A1" s="6" t="s">
        <v>21</v>
      </c>
      <c r="B1" s="6" t="s">
        <v>22</v>
      </c>
      <c r="C1" s="6" t="s">
        <v>24</v>
      </c>
      <c r="D1" s="6" t="s">
        <v>108</v>
      </c>
      <c r="E1" s="6" t="s">
        <v>109</v>
      </c>
      <c r="F1" s="6" t="s">
        <v>110</v>
      </c>
      <c r="G1" s="6" t="s">
        <v>111</v>
      </c>
      <c r="H1" s="6" t="s">
        <v>112</v>
      </c>
      <c r="I1" s="6" t="s">
        <v>113</v>
      </c>
    </row>
    <row r="2" customFormat="false" ht="15" hidden="false" customHeight="false" outlineLevel="0" collapsed="false">
      <c r="A2" s="5" t="n">
        <v>1010</v>
      </c>
      <c r="B2" s="5" t="str">
        <f aca="false">INDEX(Customers!$C:$C,MATCH(A2,Customers!$B:$B,0))</f>
        <v>Alex Rowe</v>
      </c>
      <c r="C2" s="5" t="n">
        <f aca="false">INDEX(Customers!$E:$E,MATCH(A2,Customers!$B:$B,0))</f>
        <v>0</v>
      </c>
      <c r="D2" s="5" t="n">
        <f aca="false">SUMIFS(Transactions!$K$2:$K$191,Transactions!$B$2:$B$191,A2)</f>
        <v>4</v>
      </c>
      <c r="E2" s="5" t="n">
        <f aca="false">SUMIFS(Transactions!$L$2:$L$191,Transactions!$B$2:$B$191,A2)</f>
        <v>0</v>
      </c>
      <c r="F2" s="5" t="n">
        <f aca="false">IF(SUMIFS(Transactions!$M$2:$M$191,Transactions!$B$2:$B$191,A2)&gt;0,1,0)</f>
        <v>0</v>
      </c>
      <c r="G2" s="5" t="n">
        <f aca="false">_xlfn.MAXIFS(Transactions!$N$2:$N$191,Transactions!$B$2:$B$191,A2)</f>
        <v>1</v>
      </c>
      <c r="H2" s="5" t="n">
        <f aca="false">IF(D2&gt;=3,30,0)+IF(F2=1,25,0)+IF(G2&gt;10,15,0)+IF(E2&gt;=3,20,0)+IF(C2=1,10,0)</f>
        <v>30</v>
      </c>
      <c r="I2" s="5" t="str">
        <f aca="false">IF(H2&gt;=40,"HIGH - escalate to investigation",IF(H2&gt;=20,"MEDIUM - analyst review","LOW - monitor"))</f>
        <v>MEDIUM - analyst review</v>
      </c>
    </row>
    <row r="3" customFormat="false" ht="15" hidden="false" customHeight="false" outlineLevel="0" collapsed="false">
      <c r="A3" s="5" t="n">
        <v>1020</v>
      </c>
      <c r="B3" s="5" t="str">
        <f aca="false">INDEX(Customers!$C:$C,MATCH(A3,Customers!$B:$B,0))</f>
        <v>Priya Nair</v>
      </c>
      <c r="C3" s="5" t="n">
        <f aca="false">INDEX(Customers!$E:$E,MATCH(A3,Customers!$B:$B,0))</f>
        <v>0</v>
      </c>
      <c r="D3" s="5" t="n">
        <f aca="false">SUMIFS(Transactions!$K$2:$K$191,Transactions!$B$2:$B$191,A3)</f>
        <v>0</v>
      </c>
      <c r="E3" s="5" t="n">
        <f aca="false">SUMIFS(Transactions!$L$2:$L$191,Transactions!$B$2:$B$191,A3)</f>
        <v>0</v>
      </c>
      <c r="F3" s="5" t="n">
        <f aca="false">IF(SUMIFS(Transactions!$M$2:$M$191,Transactions!$B$2:$B$191,A3)&gt;0,1,0)</f>
        <v>1</v>
      </c>
      <c r="G3" s="5" t="n">
        <f aca="false">_xlfn.MAXIFS(Transactions!$N$2:$N$191,Transactions!$B$2:$B$191,A3)</f>
        <v>2</v>
      </c>
      <c r="H3" s="5" t="n">
        <f aca="false">IF(D3&gt;=3,30,0)+IF(F3=1,25,0)+IF(G3&gt;10,15,0)+IF(E3&gt;=3,20,0)+IF(C3=1,10,0)</f>
        <v>25</v>
      </c>
      <c r="I3" s="5" t="str">
        <f aca="false">IF(H3&gt;=40,"HIGH - escalate to investigation",IF(H3&gt;=20,"MEDIUM - analyst review","LOW - monitor"))</f>
        <v>MEDIUM - analyst review</v>
      </c>
    </row>
    <row r="4" customFormat="false" ht="15" hidden="false" customHeight="false" outlineLevel="0" collapsed="false">
      <c r="A4" s="5" t="n">
        <v>1030</v>
      </c>
      <c r="B4" s="5" t="str">
        <f aca="false">INDEX(Customers!$C:$C,MATCH(A4,Customers!$B:$B,0))</f>
        <v>Daniel Kim</v>
      </c>
      <c r="C4" s="5" t="n">
        <f aca="false">INDEX(Customers!$E:$E,MATCH(A4,Customers!$B:$B,0))</f>
        <v>0</v>
      </c>
      <c r="D4" s="5" t="n">
        <f aca="false">SUMIFS(Transactions!$K$2:$K$191,Transactions!$B$2:$B$191,A4)</f>
        <v>0</v>
      </c>
      <c r="E4" s="5" t="n">
        <f aca="false">SUMIFS(Transactions!$L$2:$L$191,Transactions!$B$2:$B$191,A4)</f>
        <v>0</v>
      </c>
      <c r="F4" s="5" t="n">
        <f aca="false">IF(SUMIFS(Transactions!$M$2:$M$191,Transactions!$B$2:$B$191,A4)&gt;0,1,0)</f>
        <v>0</v>
      </c>
      <c r="G4" s="5" t="n">
        <f aca="false">_xlfn.MAXIFS(Transactions!$N$2:$N$191,Transactions!$B$2:$B$191,A4)</f>
        <v>14</v>
      </c>
      <c r="H4" s="5" t="n">
        <f aca="false">IF(D4&gt;=3,30,0)+IF(F4=1,25,0)+IF(G4&gt;10,15,0)+IF(E4&gt;=3,20,0)+IF(C4=1,10,0)</f>
        <v>15</v>
      </c>
      <c r="I4" s="5" t="str">
        <f aca="false">IF(H4&gt;=40,"HIGH - escalate to investigation",IF(H4&gt;=20,"MEDIUM - analyst review","LOW - monitor"))</f>
        <v>LOW - monitor</v>
      </c>
    </row>
    <row r="5" customFormat="false" ht="15" hidden="false" customHeight="false" outlineLevel="0" collapsed="false">
      <c r="A5" s="5" t="n">
        <v>1040</v>
      </c>
      <c r="B5" s="5" t="str">
        <f aca="false">INDEX(Customers!$C:$C,MATCH(A5,Customers!$B:$B,0))</f>
        <v>Omar Haddad</v>
      </c>
      <c r="C5" s="5" t="n">
        <f aca="false">INDEX(Customers!$E:$E,MATCH(A5,Customers!$B:$B,0))</f>
        <v>0</v>
      </c>
      <c r="D5" s="5" t="n">
        <f aca="false">SUMIFS(Transactions!$K$2:$K$191,Transactions!$B$2:$B$191,A5)</f>
        <v>0</v>
      </c>
      <c r="E5" s="5" t="n">
        <f aca="false">SUMIFS(Transactions!$L$2:$L$191,Transactions!$B$2:$B$191,A5)</f>
        <v>4</v>
      </c>
      <c r="F5" s="5" t="n">
        <f aca="false">IF(SUMIFS(Transactions!$M$2:$M$191,Transactions!$B$2:$B$191,A5)&gt;0,1,0)</f>
        <v>0</v>
      </c>
      <c r="G5" s="5" t="n">
        <f aca="false">_xlfn.MAXIFS(Transactions!$N$2:$N$191,Transactions!$B$2:$B$191,A5)</f>
        <v>1</v>
      </c>
      <c r="H5" s="5" t="n">
        <f aca="false">IF(D5&gt;=3,30,0)+IF(F5=1,25,0)+IF(G5&gt;10,15,0)+IF(E5&gt;=3,20,0)+IF(C5=1,10,0)</f>
        <v>20</v>
      </c>
      <c r="I5" s="5" t="str">
        <f aca="false">IF(H5&gt;=40,"HIGH - escalate to investigation",IF(H5&gt;=20,"MEDIUM - analyst review","LOW - monitor"))</f>
        <v>MEDIUM - analyst review</v>
      </c>
    </row>
    <row r="6" customFormat="false" ht="15" hidden="false" customHeight="false" outlineLevel="0" collapsed="false">
      <c r="A6" s="5" t="n">
        <v>1050</v>
      </c>
      <c r="B6" s="5" t="str">
        <f aca="false">INDEX(Customers!$C:$C,MATCH(A6,Customers!$B:$B,0))</f>
        <v>Maria Gomez</v>
      </c>
      <c r="C6" s="5" t="n">
        <f aca="false">INDEX(Customers!$E:$E,MATCH(A6,Customers!$B:$B,0))</f>
        <v>0</v>
      </c>
      <c r="D6" s="5" t="n">
        <f aca="false">SUMIFS(Transactions!$K$2:$K$191,Transactions!$B$2:$B$191,A6)</f>
        <v>0</v>
      </c>
      <c r="E6" s="5" t="n">
        <f aca="false">SUMIFS(Transactions!$L$2:$L$191,Transactions!$B$2:$B$191,A6)</f>
        <v>0</v>
      </c>
      <c r="F6" s="5" t="n">
        <f aca="false">IF(SUMIFS(Transactions!$M$2:$M$191,Transactions!$B$2:$B$191,A6)&gt;0,1,0)</f>
        <v>0</v>
      </c>
      <c r="G6" s="5" t="n">
        <f aca="false">_xlfn.MAXIFS(Transactions!$N$2:$N$191,Transactions!$B$2:$B$191,A6)</f>
        <v>1</v>
      </c>
      <c r="H6" s="5" t="n">
        <f aca="false">IF(D6&gt;=3,30,0)+IF(F6=1,25,0)+IF(G6&gt;10,15,0)+IF(E6&gt;=3,20,0)+IF(C6=1,10,0)</f>
        <v>0</v>
      </c>
      <c r="I6" s="5" t="str">
        <f aca="false">IF(H6&gt;=40,"HIGH - escalate to investigation",IF(H6&gt;=20,"MEDIUM - analyst review","LOW - monitor"))</f>
        <v>LOW - monitor</v>
      </c>
    </row>
    <row r="7" customFormat="false" ht="15" hidden="false" customHeight="false" outlineLevel="0" collapsed="false">
      <c r="A7" s="5" t="n">
        <v>1060</v>
      </c>
      <c r="B7" s="5" t="str">
        <f aca="false">INDEX(Customers!$C:$C,MATCH(A7,Customers!$B:$B,0))</f>
        <v>John Becker</v>
      </c>
      <c r="C7" s="5" t="n">
        <f aca="false">INDEX(Customers!$E:$E,MATCH(A7,Customers!$B:$B,0))</f>
        <v>0</v>
      </c>
      <c r="D7" s="5" t="n">
        <f aca="false">SUMIFS(Transactions!$K$2:$K$191,Transactions!$B$2:$B$191,A7)</f>
        <v>0</v>
      </c>
      <c r="E7" s="5" t="n">
        <f aca="false">SUMIFS(Transactions!$L$2:$L$191,Transactions!$B$2:$B$191,A7)</f>
        <v>0</v>
      </c>
      <c r="F7" s="5" t="n">
        <f aca="false">IF(SUMIFS(Transactions!$M$2:$M$191,Transactions!$B$2:$B$191,A7)&gt;0,1,0)</f>
        <v>0</v>
      </c>
      <c r="G7" s="5" t="n">
        <f aca="false">_xlfn.MAXIFS(Transactions!$N$2:$N$191,Transactions!$B$2:$B$191,A7)</f>
        <v>1</v>
      </c>
      <c r="H7" s="5" t="n">
        <f aca="false">IF(D7&gt;=3,30,0)+IF(F7=1,25,0)+IF(G7&gt;10,15,0)+IF(E7&gt;=3,20,0)+IF(C7=1,10,0)</f>
        <v>0</v>
      </c>
      <c r="I7" s="5" t="str">
        <f aca="false">IF(H7&gt;=40,"HIGH - escalate to investigation",IF(H7&gt;=20,"MEDIUM - analyst review","LOW - monitor"))</f>
        <v>LOW - monitor</v>
      </c>
    </row>
    <row r="8" customFormat="false" ht="15" hidden="false" customHeight="false" outlineLevel="0" collapsed="false">
      <c r="A8" s="5" t="n">
        <v>1070</v>
      </c>
      <c r="B8" s="5" t="str">
        <f aca="false">INDEX(Customers!$C:$C,MATCH(A8,Customers!$B:$B,0))</f>
        <v>Wei Zhang</v>
      </c>
      <c r="C8" s="5" t="n">
        <f aca="false">INDEX(Customers!$E:$E,MATCH(A8,Customers!$B:$B,0))</f>
        <v>0</v>
      </c>
      <c r="D8" s="5" t="n">
        <f aca="false">SUMIFS(Transactions!$K$2:$K$191,Transactions!$B$2:$B$191,A8)</f>
        <v>0</v>
      </c>
      <c r="E8" s="5" t="n">
        <f aca="false">SUMIFS(Transactions!$L$2:$L$191,Transactions!$B$2:$B$191,A8)</f>
        <v>0</v>
      </c>
      <c r="F8" s="5" t="n">
        <f aca="false">IF(SUMIFS(Transactions!$M$2:$M$191,Transactions!$B$2:$B$191,A8)&gt;0,1,0)</f>
        <v>0</v>
      </c>
      <c r="G8" s="5" t="n">
        <f aca="false">_xlfn.MAXIFS(Transactions!$N$2:$N$191,Transactions!$B$2:$B$191,A8)</f>
        <v>2</v>
      </c>
      <c r="H8" s="5" t="n">
        <f aca="false">IF(D8&gt;=3,30,0)+IF(F8=1,25,0)+IF(G8&gt;10,15,0)+IF(E8&gt;=3,20,0)+IF(C8=1,10,0)</f>
        <v>0</v>
      </c>
      <c r="I8" s="5" t="str">
        <f aca="false">IF(H8&gt;=40,"HIGH - escalate to investigation",IF(H8&gt;=20,"MEDIUM - analyst review","LOW - monitor"))</f>
        <v>LOW - monitor</v>
      </c>
    </row>
    <row r="9" customFormat="false" ht="15" hidden="false" customHeight="false" outlineLevel="0" collapsed="false">
      <c r="A9" s="5" t="n">
        <v>1080</v>
      </c>
      <c r="B9" s="5" t="str">
        <f aca="false">INDEX(Customers!$C:$C,MATCH(A9,Customers!$B:$B,0))</f>
        <v>Sara Ali</v>
      </c>
      <c r="C9" s="5" t="n">
        <f aca="false">INDEX(Customers!$E:$E,MATCH(A9,Customers!$B:$B,0))</f>
        <v>0</v>
      </c>
      <c r="D9" s="5" t="n">
        <f aca="false">SUMIFS(Transactions!$K$2:$K$191,Transactions!$B$2:$B$191,A9)</f>
        <v>0</v>
      </c>
      <c r="E9" s="5" t="n">
        <f aca="false">SUMIFS(Transactions!$L$2:$L$191,Transactions!$B$2:$B$191,A9)</f>
        <v>0</v>
      </c>
      <c r="F9" s="5" t="n">
        <f aca="false">IF(SUMIFS(Transactions!$M$2:$M$191,Transactions!$B$2:$B$191,A9)&gt;0,1,0)</f>
        <v>0</v>
      </c>
      <c r="G9" s="5" t="n">
        <f aca="false">_xlfn.MAXIFS(Transactions!$N$2:$N$191,Transactions!$B$2:$B$191,A9)</f>
        <v>2</v>
      </c>
      <c r="H9" s="5" t="n">
        <f aca="false">IF(D9&gt;=3,30,0)+IF(F9=1,25,0)+IF(G9&gt;10,15,0)+IF(E9&gt;=3,20,0)+IF(C9=1,10,0)</f>
        <v>0</v>
      </c>
      <c r="I9" s="5" t="str">
        <f aca="false">IF(H9&gt;=40,"HIGH - escalate to investigation",IF(H9&gt;=20,"MEDIUM - analyst review","LOW - monitor"))</f>
        <v>LOW - monitor</v>
      </c>
    </row>
    <row r="10" customFormat="false" ht="15" hidden="false" customHeight="false" outlineLevel="0" collapsed="false">
      <c r="A10" s="5" t="n">
        <v>1090</v>
      </c>
      <c r="B10" s="5" t="str">
        <f aca="false">INDEX(Customers!$C:$C,MATCH(A10,Customers!$B:$B,0))</f>
        <v>Tom Wallace</v>
      </c>
      <c r="C10" s="5" t="n">
        <f aca="false">INDEX(Customers!$E:$E,MATCH(A10,Customers!$B:$B,0))</f>
        <v>0</v>
      </c>
      <c r="D10" s="5" t="n">
        <f aca="false">SUMIFS(Transactions!$K$2:$K$191,Transactions!$B$2:$B$191,A10)</f>
        <v>0</v>
      </c>
      <c r="E10" s="5" t="n">
        <f aca="false">SUMIFS(Transactions!$L$2:$L$191,Transactions!$B$2:$B$191,A10)</f>
        <v>0</v>
      </c>
      <c r="F10" s="5" t="n">
        <f aca="false">IF(SUMIFS(Transactions!$M$2:$M$191,Transactions!$B$2:$B$191,A10)&gt;0,1,0)</f>
        <v>0</v>
      </c>
      <c r="G10" s="5" t="n">
        <f aca="false">_xlfn.MAXIFS(Transactions!$N$2:$N$191,Transactions!$B$2:$B$191,A10)</f>
        <v>2</v>
      </c>
      <c r="H10" s="5" t="n">
        <f aca="false">IF(D10&gt;=3,30,0)+IF(F10=1,25,0)+IF(G10&gt;10,15,0)+IF(E10&gt;=3,20,0)+IF(C10=1,10,0)</f>
        <v>0</v>
      </c>
      <c r="I10" s="5" t="str">
        <f aca="false">IF(H10&gt;=40,"HIGH - escalate to investigation",IF(H10&gt;=20,"MEDIUM - analyst review","LOW - monitor"))</f>
        <v>LOW - monitor</v>
      </c>
    </row>
    <row r="11" customFormat="false" ht="15" hidden="false" customHeight="false" outlineLevel="0" collapsed="false">
      <c r="A11" s="5" t="n">
        <v>1100</v>
      </c>
      <c r="B11" s="5" t="str">
        <f aca="false">INDEX(Customers!$C:$C,MATCH(A11,Customers!$B:$B,0))</f>
        <v>Fatima Noor</v>
      </c>
      <c r="C11" s="5" t="n">
        <f aca="false">INDEX(Customers!$E:$E,MATCH(A11,Customers!$B:$B,0))</f>
        <v>0</v>
      </c>
      <c r="D11" s="5" t="n">
        <f aca="false">SUMIFS(Transactions!$K$2:$K$191,Transactions!$B$2:$B$191,A11)</f>
        <v>0</v>
      </c>
      <c r="E11" s="5" t="n">
        <f aca="false">SUMIFS(Transactions!$L$2:$L$191,Transactions!$B$2:$B$191,A11)</f>
        <v>0</v>
      </c>
      <c r="F11" s="5" t="n">
        <f aca="false">IF(SUMIFS(Transactions!$M$2:$M$191,Transactions!$B$2:$B$191,A11)&gt;0,1,0)</f>
        <v>0</v>
      </c>
      <c r="G11" s="5" t="n">
        <f aca="false">_xlfn.MAXIFS(Transactions!$N$2:$N$191,Transactions!$B$2:$B$191,A11)</f>
        <v>1</v>
      </c>
      <c r="H11" s="5" t="n">
        <f aca="false">IF(D11&gt;=3,30,0)+IF(F11=1,25,0)+IF(G11&gt;10,15,0)+IF(E11&gt;=3,20,0)+IF(C11=1,10,0)</f>
        <v>0</v>
      </c>
      <c r="I11" s="5" t="str">
        <f aca="false">IF(H11&gt;=40,"HIGH - escalate to investigation",IF(H11&gt;=20,"MEDIUM - analyst review","LOW - monitor"))</f>
        <v>LOW - monitor</v>
      </c>
    </row>
    <row r="12" customFormat="false" ht="15" hidden="false" customHeight="false" outlineLevel="0" collapsed="false">
      <c r="A12" s="5" t="n">
        <v>1110</v>
      </c>
      <c r="B12" s="5" t="str">
        <f aca="false">INDEX(Customers!$C:$C,MATCH(A12,Customers!$B:$B,0))</f>
        <v>Liam O'Connor</v>
      </c>
      <c r="C12" s="5" t="n">
        <f aca="false">INDEX(Customers!$E:$E,MATCH(A12,Customers!$B:$B,0))</f>
        <v>0</v>
      </c>
      <c r="D12" s="5" t="n">
        <f aca="false">SUMIFS(Transactions!$K$2:$K$191,Transactions!$B$2:$B$191,A12)</f>
        <v>0</v>
      </c>
      <c r="E12" s="5" t="n">
        <f aca="false">SUMIFS(Transactions!$L$2:$L$191,Transactions!$B$2:$B$191,A12)</f>
        <v>0</v>
      </c>
      <c r="F12" s="5" t="n">
        <f aca="false">IF(SUMIFS(Transactions!$M$2:$M$191,Transactions!$B$2:$B$191,A12)&gt;0,1,0)</f>
        <v>0</v>
      </c>
      <c r="G12" s="5" t="n">
        <f aca="false">_xlfn.MAXIFS(Transactions!$N$2:$N$191,Transactions!$B$2:$B$191,A12)</f>
        <v>1</v>
      </c>
      <c r="H12" s="5" t="n">
        <f aca="false">IF(D12&gt;=3,30,0)+IF(F12=1,25,0)+IF(G12&gt;10,15,0)+IF(E12&gt;=3,20,0)+IF(C12=1,10,0)</f>
        <v>0</v>
      </c>
      <c r="I12" s="5" t="str">
        <f aca="false">IF(H12&gt;=40,"HIGH - escalate to investigation",IF(H12&gt;=20,"MEDIUM - analyst review","LOW - monitor"))</f>
        <v>LOW - monitor</v>
      </c>
    </row>
    <row r="13" customFormat="false" ht="15" hidden="false" customHeight="false" outlineLevel="0" collapsed="false">
      <c r="A13" s="5" t="n">
        <v>1120</v>
      </c>
      <c r="B13" s="5" t="str">
        <f aca="false">INDEX(Customers!$C:$C,MATCH(A13,Customers!$B:$B,0))</f>
        <v>Grace Ito</v>
      </c>
      <c r="C13" s="5" t="n">
        <f aca="false">INDEX(Customers!$E:$E,MATCH(A13,Customers!$B:$B,0))</f>
        <v>1</v>
      </c>
      <c r="D13" s="5" t="n">
        <f aca="false">SUMIFS(Transactions!$K$2:$K$191,Transactions!$B$2:$B$191,A13)</f>
        <v>0</v>
      </c>
      <c r="E13" s="5" t="n">
        <f aca="false">SUMIFS(Transactions!$L$2:$L$191,Transactions!$B$2:$B$191,A13)</f>
        <v>0</v>
      </c>
      <c r="F13" s="5" t="n">
        <f aca="false">IF(SUMIFS(Transactions!$M$2:$M$191,Transactions!$B$2:$B$191,A13)&gt;0,1,0)</f>
        <v>0</v>
      </c>
      <c r="G13" s="5" t="n">
        <f aca="false">_xlfn.MAXIFS(Transactions!$N$2:$N$191,Transactions!$B$2:$B$191,A13)</f>
        <v>2</v>
      </c>
      <c r="H13" s="5" t="n">
        <f aca="false">IF(D13&gt;=3,30,0)+IF(F13=1,25,0)+IF(G13&gt;10,15,0)+IF(E13&gt;=3,20,0)+IF(C13=1,10,0)</f>
        <v>10</v>
      </c>
      <c r="I13" s="5" t="str">
        <f aca="false">IF(H13&gt;=40,"HIGH - escalate to investigation",IF(H13&gt;=20,"MEDIUM - analyst review","LOW - monitor"))</f>
        <v>LOW - monitor</v>
      </c>
    </row>
  </sheetData>
  <conditionalFormatting sqref="A2:I13">
    <cfRule type="expression" priority="2" aboveAverage="0" equalAverage="0" bottom="0" percent="0" rank="0" text="" dxfId="0">
      <formula>$H2&gt;=20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2026-09-14T08:46:24Z</dcterms:created>
  <dc:creator>openpyxl</dc:creator>
  <dc:description/>
  <dc:language>en-US</dc:language>
  <cp:lastModifiedBy/>
  <dcterms:modified xsi:type="dcterms:W3CDTF">2026-09-14T08:46:24Z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